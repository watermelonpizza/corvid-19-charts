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ml.chartsha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corvid-19-charts\"/>
    </mc:Choice>
  </mc:AlternateContent>
  <xr:revisionPtr revIDLastSave="0" documentId="13_ncr:1_{FEAF0FC0-D65F-4BB4-8E9C-18E1B0F3952D}" xr6:coauthVersionLast="45" xr6:coauthVersionMax="45" xr10:uidLastSave="{00000000-0000-0000-0000-000000000000}"/>
  <bookViews>
    <workbookView xWindow="1092" yWindow="-108" windowWidth="45096" windowHeight="26136" tabRatio="896" activeTab="20" xr2:uid="{00000000-000D-0000-FFFF-FFFF00000000}"/>
  </bookViews>
  <sheets>
    <sheet name="deaths_days_since_by_population" sheetId="35" r:id="rId1"/>
    <sheet name="deaths_days_since" sheetId="32" r:id="rId2"/>
    <sheet name="deaths_linear" sheetId="40" r:id="rId3"/>
    <sheet name="deaths" sheetId="33" r:id="rId4"/>
    <sheet name="cases_days_since_by_population" sheetId="23" r:id="rId5"/>
    <sheet name="cases_days_since" sheetId="18" r:id="rId6"/>
    <sheet name="cases_linear" sheetId="39" r:id="rId7"/>
    <sheet name="cases" sheetId="36" r:id="rId8"/>
    <sheet name="australia_totals" sheetId="26" r:id="rId9"/>
    <sheet name="australia_totals_deaths" sheetId="42" r:id="rId10"/>
    <sheet name="Australia Per State Deaths" sheetId="41" r:id="rId11"/>
    <sheet name="Australia Per State" sheetId="24" r:id="rId12"/>
    <sheet name="Deaths Days + Pop" sheetId="34" r:id="rId13"/>
    <sheet name="Deaths Days Since" sheetId="31" r:id="rId14"/>
    <sheet name="Deaths Country Totals" sheetId="37" r:id="rId15"/>
    <sheet name="Deaths Country Grouped" sheetId="30" r:id="rId16"/>
    <sheet name="Deaths All" sheetId="29" r:id="rId17"/>
    <sheet name="Cases Days + Pop" sheetId="22" r:id="rId18"/>
    <sheet name="Cases Days Since" sheetId="17" r:id="rId19"/>
    <sheet name="Per Country Totals" sheetId="27" r:id="rId20"/>
    <sheet name="Cases Country Grouped" sheetId="15" r:id="rId21"/>
    <sheet name="CountryList" sheetId="43" r:id="rId22"/>
    <sheet name="Cases All" sheetId="13" r:id="rId23"/>
    <sheet name="Global Totals" sheetId="28" r:id="rId24"/>
    <sheet name="WorldPop" sheetId="38" r:id="rId25"/>
  </sheets>
  <functionGroups builtInGroupCount="19"/>
  <definedNames>
    <definedName name="ExternalData_2" localSheetId="22" hidden="1">'Cases All'!$A$1:$BO$81</definedName>
    <definedName name="ExternalData_3" localSheetId="11" hidden="1">'Australia Per State'!$A$1:$J$67</definedName>
    <definedName name="ExternalData_3" localSheetId="20" hidden="1">'Cases Country Grouped'!$A$1:$BL$13</definedName>
    <definedName name="ExternalData_3" localSheetId="21" hidden="1">CountryList!$A$1:$A$13</definedName>
    <definedName name="ExternalData_4" localSheetId="10" hidden="1">'Australia Per State Deaths'!$A$1:$J$32</definedName>
    <definedName name="ExternalData_4" localSheetId="18" hidden="1">'Cases Days Since'!$A$1:$BL$13</definedName>
    <definedName name="ExternalData_4" localSheetId="16" hidden="1">'Deaths All'!$A$1:$BO$81</definedName>
    <definedName name="ExternalData_4" localSheetId="19" hidden="1">'Per Country Totals'!$A$1:$N$64</definedName>
    <definedName name="ExternalData_5" localSheetId="15" hidden="1">'Deaths Country Grouped'!$A$1:$BL$13</definedName>
    <definedName name="ExternalData_5" localSheetId="14" hidden="1">'Deaths Country Totals'!$A$1:$N$64</definedName>
    <definedName name="ExternalData_6" localSheetId="17" hidden="1">'Cases Days + Pop'!$A$1:$BL$13</definedName>
    <definedName name="ExternalData_6" localSheetId="12" hidden="1">'Deaths Days + Pop'!$A$1:$BL$13</definedName>
    <definedName name="ExternalData_6" localSheetId="13" hidden="1">'Deaths Days Since'!$A$1:$BL$13</definedName>
    <definedName name="filename">#REF!</definedName>
    <definedName name="Filepath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2" i="13" l="1"/>
  <c r="F82" i="13"/>
  <c r="G82" i="13"/>
  <c r="H82" i="13"/>
  <c r="I82" i="13"/>
  <c r="J82" i="13"/>
  <c r="K82" i="13"/>
  <c r="L82" i="13"/>
  <c r="M82" i="13"/>
  <c r="N82" i="13"/>
  <c r="O82" i="13"/>
  <c r="P82" i="13"/>
  <c r="Q82" i="13"/>
  <c r="R82" i="13"/>
  <c r="S82" i="13"/>
  <c r="T82" i="13"/>
  <c r="U82" i="13"/>
  <c r="V82" i="13"/>
  <c r="W82" i="13"/>
  <c r="X82" i="13"/>
  <c r="Y82" i="13"/>
  <c r="Z82" i="13"/>
  <c r="AA82" i="13"/>
  <c r="AB82" i="13"/>
  <c r="AC82" i="13"/>
  <c r="AD82" i="13"/>
  <c r="AE82" i="13"/>
  <c r="AF82" i="13"/>
  <c r="AG82" i="13"/>
  <c r="AH82" i="13"/>
  <c r="AI82" i="13"/>
  <c r="AJ82" i="13"/>
  <c r="AK82" i="13"/>
  <c r="AL82" i="13"/>
  <c r="AM82" i="13"/>
  <c r="AN82" i="13"/>
  <c r="AO82" i="13"/>
  <c r="AP82" i="13"/>
  <c r="AQ82" i="13"/>
  <c r="AR82" i="13"/>
  <c r="AS82" i="13"/>
  <c r="AT82" i="13"/>
  <c r="AU82" i="13"/>
  <c r="AV82" i="13"/>
  <c r="AW82" i="13"/>
  <c r="AX82" i="13"/>
  <c r="AY82" i="13"/>
  <c r="AZ82" i="13"/>
  <c r="BA82" i="13"/>
  <c r="BB82" i="13"/>
  <c r="BC82" i="13"/>
  <c r="BD82" i="13"/>
  <c r="BE82" i="13"/>
  <c r="BF82" i="13"/>
  <c r="BG82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6DEBBB-D656-4FB9-B564-C117083DB904}" keepAlive="1" name="Query - Australia Per State" description="Connection to the 'Australia Per State' query in the workbook." type="5" refreshedVersion="6" background="1" saveData="1">
    <dbPr connection="Provider=Microsoft.Mashup.OleDb.1;Data Source=$Workbook$;Location=&quot;Australia Per State&quot;;Extended Properties=&quot;&quot;" command="SELECT * FROM [Australia Per State]"/>
  </connection>
  <connection id="2" xr16:uid="{886CE494-780E-4E72-8493-344B44952A1C}" keepAlive="1" name="Query - Australia Per State Deaths" description="Connection to the 'Australia Per State Deaths' query in the workbook." type="5" refreshedVersion="6" background="1" saveData="1">
    <dbPr connection="Provider=Microsoft.Mashup.OleDb.1;Data Source=$Workbook$;Location=&quot;Australia Per State Deaths&quot;;Extended Properties=&quot;&quot;" command="SELECT * FROM [Australia Per State Deaths]"/>
  </connection>
  <connection id="3" xr16:uid="{913C4E76-042E-47F3-BFFE-0CEC3325ABB2}" keepAlive="1" name="Query - Cases Per Population Unit Number" description="Connection to the 'Cases Per Population Unit Number' query in the workbook." type="5" refreshedVersion="0" background="1">
    <dbPr connection="Provider=Microsoft.Mashup.OleDb.1;Data Source=$Workbook$;Location=&quot;Cases Per Population Unit Number&quot;;Extended Properties=&quot;&quot;" command="SELECT * FROM [Cases Per Population Unit Number]"/>
  </connection>
  <connection id="4" xr16:uid="{00000000-0015-0000-FFFF-FFFF05000000}" keepAlive="1" name="Query - Confirmed" description="Connection to the 'Confirmed' query in the workbook." type="5" refreshedVersion="6" background="1" saveData="1">
    <dbPr connection="Provider=Microsoft.Mashup.OleDb.1;Data Source=$Workbook$;Location=Confirmed;Extended Properties=&quot;&quot;" command="SELECT * FROM [Confirmed]"/>
  </connection>
  <connection id="5" xr16:uid="{3CAA9143-41F0-4C7B-9FCB-E1F61AA27478}" keepAlive="1" name="Query - Confirmed Country Grouped" description="Connection to the 'Confirmed Country Grouped' query in the workbook." type="5" refreshedVersion="6" background="1" saveData="1">
    <dbPr connection="Provider=Microsoft.Mashup.OleDb.1;Data Source=$Workbook$;Location=&quot;Confirmed Country Grouped&quot;;Extended Properties=&quot;&quot;" command="SELECT * FROM [Confirmed Country Grouped]"/>
  </connection>
  <connection id="6" xr16:uid="{D645DB8E-FD84-4D19-80C7-52B2A5DC064D}" keepAlive="1" name="Query - Confirmed Country Totals" description="Connection to the 'Confirmed Country Totals' query in the workbook." type="5" refreshedVersion="6" background="1" saveData="1">
    <dbPr connection="Provider=Microsoft.Mashup.OleDb.1;Data Source=$Workbook$;Location=&quot;Confirmed Country Totals&quot;;Extended Properties=&quot;&quot;" command="SELECT * FROM [Confirmed Country Totals]"/>
  </connection>
  <connection id="7" xr16:uid="{3306CFB8-FB33-4ACD-AD6A-F00CE66C1714}" keepAlive="1" name="Query - Confirmed Days Since" description="Connection to the 'Confirmed Days Since' query in the workbook." type="5" refreshedVersion="6" background="1" saveData="1">
    <dbPr connection="Provider=Microsoft.Mashup.OleDb.1;Data Source=$Workbook$;Location=&quot;Confirmed Days Since&quot;;Extended Properties=&quot;&quot;" command="SELECT * FROM [Confirmed Days Since]"/>
  </connection>
  <connection id="8" xr16:uid="{D3A63D69-7B23-419F-BBFF-CD57D8A7D0D8}" keepAlive="1" name="Query - Confirmed Days Since Per Unit Population" description="Connection to the 'Confirmed Days Since Per Unit Population' query in the workbook." type="5" refreshedVersion="6" background="1" saveData="1">
    <dbPr connection="Provider=Microsoft.Mashup.OleDb.1;Data Source=$Workbook$;Location=&quot;Confirmed Days Since Per Unit Population&quot;;Extended Properties=&quot;&quot;" command="SELECT * FROM [Confirmed Days Since Per Unit Population]"/>
  </connection>
  <connection id="9" xr16:uid="{DFB3DA29-96E1-4AAE-81D6-A865194A80EE}" keepAlive="1" name="Query - CountryList" description="Connection to the 'CountryList' query in the workbook." type="5" refreshedVersion="6" background="1" saveData="1">
    <dbPr connection="Provider=Microsoft.Mashup.OleDb.1;Data Source=$Workbook$;Location=CountryList;Extended Properties=&quot;&quot;" command="SELECT * FROM [CountryList]"/>
  </connection>
  <connection id="10" xr16:uid="{10A3CD21-F02F-4338-B865-F9BF98B36910}" keepAlive="1" name="Query - Days Since X Cases" description="Connection to the 'Days Since X Cases' query in the workbook." type="5" refreshedVersion="0" background="1">
    <dbPr connection="Provider=Microsoft.Mashup.OleDb.1;Data Source=$Workbook$;Location=&quot;Days Since X Cases&quot;;Extended Properties=&quot;&quot;" command="SELECT * FROM [Days Since X Cases]"/>
  </connection>
  <connection id="11" xr16:uid="{937C6394-B179-4AC5-9041-B8313AD66C80}" keepAlive="1" name="Query - Days Since X Deaths" description="Connection to the 'Days Since X Deaths' query in the workbook." type="5" refreshedVersion="0" background="1">
    <dbPr connection="Provider=Microsoft.Mashup.OleDb.1;Data Source=$Workbook$;Location=&quot;Days Since X Deaths&quot;;Extended Properties=&quot;&quot;" command="SELECT * FROM [Days Since X Deaths]"/>
  </connection>
  <connection id="12" xr16:uid="{422C5953-77EE-4E00-BE10-808D7440EBA0}" keepAlive="1" name="Query - Deaths" description="Connection to the 'Deaths' query in the workbook." type="5" refreshedVersion="6" background="1" saveData="1">
    <dbPr connection="Provider=Microsoft.Mashup.OleDb.1;Data Source=$Workbook$;Location=Deaths;Extended Properties=&quot;&quot;" command="SELECT * FROM [Deaths]"/>
  </connection>
  <connection id="13" xr16:uid="{7F346EBA-4F34-4C23-B91A-12754A7E2CB7}" keepAlive="1" name="Query - Deaths Country Grouped" description="Connection to the 'Deaths Country Grouped' query in the workbook." type="5" refreshedVersion="6" background="1" saveData="1">
    <dbPr connection="Provider=Microsoft.Mashup.OleDb.1;Data Source=$Workbook$;Location=&quot;Deaths Country Grouped&quot;;Extended Properties=&quot;&quot;" command="SELECT * FROM [Deaths Country Grouped]"/>
  </connection>
  <connection id="14" xr16:uid="{23083269-32E7-4830-8945-84256543F5F5}" keepAlive="1" name="Query - Deaths Country Totals" description="Connection to the 'Deaths Country Totals' query in the workbook." type="5" refreshedVersion="6" background="1" saveData="1">
    <dbPr connection="Provider=Microsoft.Mashup.OleDb.1;Data Source=$Workbook$;Location=&quot;Deaths Country Totals&quot;;Extended Properties=&quot;&quot;" command="SELECT * FROM [Deaths Country Totals]"/>
  </connection>
  <connection id="15" xr16:uid="{46BB38BF-D4B4-4E83-8A46-BED7821E4E6E}" keepAlive="1" name="Query - Deaths Days Since" description="Connection to the 'Deaths Days Since' query in the workbook." type="5" refreshedVersion="6" background="1" saveData="1">
    <dbPr connection="Provider=Microsoft.Mashup.OleDb.1;Data Source=$Workbook$;Location=&quot;Deaths Days Since&quot;;Extended Properties=&quot;&quot;" command="SELECT * FROM [Deaths Days Since]"/>
  </connection>
  <connection id="16" xr16:uid="{4A854E74-83A1-4FE8-B9B1-3CA169EAD1C4}" keepAlive="1" name="Query - Deaths Days Since Per Unit Population" description="Connection to the 'Deaths Days Since Per Unit Population' query in the workbook." type="5" refreshedVersion="6" background="1" saveData="1">
    <dbPr connection="Provider=Microsoft.Mashup.OleDb.1;Data Source=$Workbook$;Location=&quot;Deaths Days Since Per Unit Population&quot;;Extended Properties=&quot;&quot;" command="SELECT * FROM [Deaths Days Since Per Unit Population]"/>
  </connection>
  <connection id="17" xr16:uid="{67A40277-3495-4593-BA17-1042AAA3C03C}" keepAlive="1" name="Query - Deaths Per Population Unit Number" description="Connection to the 'Deaths Per Population Unit Number' query in the workbook." type="5" refreshedVersion="0" background="1">
    <dbPr connection="Provider=Microsoft.Mashup.OleDb.1;Data Source=$Workbook$;Location=&quot;Deaths Per Population Unit Number&quot;;Extended Properties=&quot;&quot;" command="SELECT * FROM [Deaths Per Population Unit Number]"/>
  </connection>
  <connection id="18" xr16:uid="{B2823BB9-CB2C-4663-9FB3-873C604190E2}" keepAlive="1" name="Query - WorldPopulation" description="Connection to the 'WorldPopulation' query in the workbook." type="5" refreshedVersion="6" background="1" saveData="1">
    <dbPr connection="Provider=Microsoft.Mashup.OleDb.1;Data Source=$Workbook$;Location=WorldPopulation;Extended Properties=&quot;&quot;" command="SELECT * FROM [WorldPopulation]"/>
  </connection>
</connections>
</file>

<file path=xl/sharedStrings.xml><?xml version="1.0" encoding="utf-8"?>
<sst xmlns="http://schemas.openxmlformats.org/spreadsheetml/2006/main" count="1937" uniqueCount="673">
  <si>
    <t>Lat</t>
  </si>
  <si>
    <t>Long</t>
  </si>
  <si>
    <t>Japan</t>
  </si>
  <si>
    <t>Thailand</t>
  </si>
  <si>
    <t>Anhui</t>
  </si>
  <si>
    <t>Beijing</t>
  </si>
  <si>
    <t>Chongqing</t>
  </si>
  <si>
    <t>Fujian</t>
  </si>
  <si>
    <t>Guangdong</t>
  </si>
  <si>
    <t>Guangxi</t>
  </si>
  <si>
    <t>Guizhou</t>
  </si>
  <si>
    <t>Hainan</t>
  </si>
  <si>
    <t>Hebei</t>
  </si>
  <si>
    <t>Henan</t>
  </si>
  <si>
    <t>Hubei</t>
  </si>
  <si>
    <t>Hunan</t>
  </si>
  <si>
    <t>Jiangsu</t>
  </si>
  <si>
    <t>Jiangxi</t>
  </si>
  <si>
    <t>US</t>
  </si>
  <si>
    <t>Liaoning</t>
  </si>
  <si>
    <t>Macau</t>
  </si>
  <si>
    <t>Ningxia</t>
  </si>
  <si>
    <t>Shandong</t>
  </si>
  <si>
    <t>Shanghai</t>
  </si>
  <si>
    <t>Shanxi</t>
  </si>
  <si>
    <t>Sichuan</t>
  </si>
  <si>
    <t>Tianjin</t>
  </si>
  <si>
    <t>Yunnan</t>
  </si>
  <si>
    <t>Zhejiang</t>
  </si>
  <si>
    <t>Singapore</t>
  </si>
  <si>
    <t>Gansu</t>
  </si>
  <si>
    <t>Heilongjiang</t>
  </si>
  <si>
    <t>Hong Kong</t>
  </si>
  <si>
    <t>Jilin</t>
  </si>
  <si>
    <t>Shaanxi</t>
  </si>
  <si>
    <t>Xinjiang</t>
  </si>
  <si>
    <t>France</t>
  </si>
  <si>
    <t>Inner Mongolia</t>
  </si>
  <si>
    <t>Malaysia</t>
  </si>
  <si>
    <t>Nepal</t>
  </si>
  <si>
    <t>Qinghai</t>
  </si>
  <si>
    <t>New South Wales</t>
  </si>
  <si>
    <t>Australia</t>
  </si>
  <si>
    <t>Canada</t>
  </si>
  <si>
    <t>Victoria</t>
  </si>
  <si>
    <t>Cambodia</t>
  </si>
  <si>
    <t>Germany</t>
  </si>
  <si>
    <t>Sri Lanka</t>
  </si>
  <si>
    <t>British Columbia</t>
  </si>
  <si>
    <t>Finland</t>
  </si>
  <si>
    <t>United Arab Emirates</t>
  </si>
  <si>
    <t>Queensland</t>
  </si>
  <si>
    <t>India</t>
  </si>
  <si>
    <t>Philippines</t>
  </si>
  <si>
    <t>Tibet</t>
  </si>
  <si>
    <t>Italy</t>
  </si>
  <si>
    <t>Sweden</t>
  </si>
  <si>
    <t>Spain</t>
  </si>
  <si>
    <t>South Australia</t>
  </si>
  <si>
    <t>Belgium</t>
  </si>
  <si>
    <t>Egypt</t>
  </si>
  <si>
    <t>Israel</t>
  </si>
  <si>
    <t>Lebanon</t>
  </si>
  <si>
    <t>Afghanistan</t>
  </si>
  <si>
    <t>Bahrain</t>
  </si>
  <si>
    <t>Iraq</t>
  </si>
  <si>
    <t>Kuwait</t>
  </si>
  <si>
    <t>Oman</t>
  </si>
  <si>
    <t>Algeria</t>
  </si>
  <si>
    <t>Austria</t>
  </si>
  <si>
    <t>Croatia</t>
  </si>
  <si>
    <t>Switzerland</t>
  </si>
  <si>
    <t>Brazil</t>
  </si>
  <si>
    <t>Georgia</t>
  </si>
  <si>
    <t>Greece</t>
  </si>
  <si>
    <t>North Macedonia</t>
  </si>
  <si>
    <t>Norway</t>
  </si>
  <si>
    <t>Pakistan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</si>
  <si>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</si>
  <si>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</si>
  <si>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</si>
  <si>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</si>
  <si>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</si>
  <si>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</si>
  <si>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</si>
  <si>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</si>
  <si>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</si>
  <si>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</si>
  <si>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</si>
  <si>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Ireland</t>
  </si>
  <si>
    <t>Luxembourg</t>
  </si>
  <si>
    <t>Monaco</t>
  </si>
  <si>
    <t>Qatar</t>
  </si>
  <si>
    <t>Western Australia</t>
  </si>
  <si>
    <t>Armenia</t>
  </si>
  <si>
    <t>Azerbaijan</t>
  </si>
  <si>
    <t>Dominican Republic</t>
  </si>
  <si>
    <t>Ecuador</t>
  </si>
  <si>
    <t>Andorra</t>
  </si>
  <si>
    <t>Indonesia</t>
  </si>
  <si>
    <t>Latvia</t>
  </si>
  <si>
    <t>Morocco</t>
  </si>
  <si>
    <t>Portugal</t>
  </si>
  <si>
    <t>Saudi Arabia</t>
  </si>
  <si>
    <t>Senegal</t>
  </si>
  <si>
    <t>Tasmania</t>
  </si>
  <si>
    <t>Argentina</t>
  </si>
  <si>
    <t>Chile</t>
  </si>
  <si>
    <t>Jordan</t>
  </si>
  <si>
    <t>Ukraine</t>
  </si>
  <si>
    <t>Faroe Islands</t>
  </si>
  <si>
    <t>Gibraltar</t>
  </si>
  <si>
    <t>Hungary</t>
  </si>
  <si>
    <t>Liechtenstein</t>
  </si>
  <si>
    <t>Poland</t>
  </si>
  <si>
    <t>Saint Barthelemy</t>
  </si>
  <si>
    <t>Tunisia</t>
  </si>
  <si>
    <t>Northern Territory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</si>
  <si>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</si>
  <si>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</si>
  <si>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</si>
  <si>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</si>
  <si>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</si>
  <si>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</si>
  <si>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</si>
  <si>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</si>
  <si>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</si>
  <si>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</si>
  <si>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</si>
  <si>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</si>
  <si>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</si>
  <si>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</si>
  <si>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Bangladesh</t>
  </si>
  <si>
    <t>Bulgaria</t>
  </si>
  <si>
    <t>Maldives</t>
  </si>
  <si>
    <t>Paraguay</t>
  </si>
  <si>
    <t/>
  </si>
  <si>
    <t>Ontario</t>
  </si>
  <si>
    <t>Alberta</t>
  </si>
  <si>
    <t>Albania</t>
  </si>
  <si>
    <t>Cyprus</t>
  </si>
  <si>
    <t>Brunei</t>
  </si>
  <si>
    <t>Quebec</t>
  </si>
  <si>
    <t>Diamond Princess</t>
  </si>
  <si>
    <t>Grand Princess</t>
  </si>
  <si>
    <t>Holy See</t>
  </si>
  <si>
    <t>Burkina Faso</t>
  </si>
  <si>
    <t>Channel Islands</t>
  </si>
  <si>
    <t>Mongolia</t>
  </si>
  <si>
    <t>Panama</t>
  </si>
  <si>
    <t>Province/State</t>
  </si>
  <si>
    <t>Country/Region</t>
  </si>
  <si>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</si>
  <si>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</si>
  <si>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</si>
  <si>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</si>
  <si>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</si>
  <si>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</si>
  <si>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</si>
  <si>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</si>
  <si>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</si>
  <si>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</si>
  <si>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2/1/20</t>
  </si>
  <si>
    <t>2/2/20</t>
  </si>
  <si>
    <t>2/3/20</t>
  </si>
  <si>
    <t>2/4/20</t>
  </si>
  <si>
    <t>2/5/20</t>
  </si>
  <si>
    <t>2/6/20</t>
  </si>
  <si>
    <t>2/7/20</t>
  </si>
  <si>
    <t>2/8/20</t>
  </si>
  <si>
    <t>2/9/20</t>
  </si>
  <si>
    <t>2/10/20</t>
  </si>
  <si>
    <t>2/11/20</t>
  </si>
  <si>
    <t>2/12/20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</si>
  <si>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</si>
  <si>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</si>
  <si>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</si>
  <si>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</si>
  <si>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</si>
  <si>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</si>
  <si>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</si>
  <si>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</si>
  <si>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</si>
  <si>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</si>
  <si>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</si>
  <si>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</si>
  <si>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</si>
  <si>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</si>
  <si>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</si>
  <si>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</si>
  <si>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</si>
  <si>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3/1/20</t>
  </si>
  <si>
    <t>3/2/20</t>
  </si>
  <si>
    <t>3/3/20</t>
  </si>
  <si>
    <t>3/4/20</t>
  </si>
  <si>
    <t>3/5/20</t>
  </si>
  <si>
    <t>3/6/20</t>
  </si>
  <si>
    <t>3/7/20</t>
  </si>
  <si>
    <t>3/8/20</t>
  </si>
  <si>
    <t>3/9/20</t>
  </si>
  <si>
    <t>3/10/20</t>
  </si>
  <si>
    <t>3/11/20</t>
  </si>
  <si>
    <t>China</t>
  </si>
  <si>
    <t>Iran</t>
  </si>
  <si>
    <t>Korea, South</t>
  </si>
  <si>
    <t>United Kingdom</t>
  </si>
  <si>
    <t>Czechia</t>
  </si>
  <si>
    <t>Vietnam</t>
  </si>
  <si>
    <t>Russia</t>
  </si>
  <si>
    <t>Moldova</t>
  </si>
  <si>
    <t>Bolivia</t>
  </si>
  <si>
    <t>St Martin</t>
  </si>
  <si>
    <t>Honduras</t>
  </si>
  <si>
    <t>New Brunswick</t>
  </si>
  <si>
    <t>Jamaica</t>
  </si>
  <si>
    <t>Reunion</t>
  </si>
  <si>
    <t>Turkey</t>
  </si>
  <si>
    <t>Totals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</si>
  <si>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</si>
  <si>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</si>
  <si>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</si>
  <si>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</si>
  <si>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</si>
  <si>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</si>
  <si>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</si>
  <si>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</si>
  <si>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</si>
  <si>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</si>
  <si>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</si>
  <si>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</si>
  <si>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</si>
  <si>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</si>
  <si>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</si>
  <si>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</si>
  <si>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</si>
  <si>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</si>
  <si>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</si>
  <si>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</si>
  <si>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</si>
  <si>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</si>
  <si>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</si>
  <si>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</si>
  <si>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</si>
  <si>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</si>
  <si>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</si>
  <si>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</si>
  <si>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</si>
  <si>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</si>
  <si>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</si>
  <si>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</si>
  <si>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</si>
  <si>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</si>
  <si>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</si>
  <si>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</si>
  <si>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</si>
  <si>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</si>
  <si>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</si>
  <si>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</si>
  <si>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</si>
  <si>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</si>
  <si>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</si>
  <si>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</si>
  <si>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</si>
  <si>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</si>
  <si>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</si>
  <si>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</si>
  <si>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</si>
  <si>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</si>
  <si>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</si>
  <si>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</si>
  <si>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</si>
  <si>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</si>
  <si>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</si>
  <si>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</si>
  <si>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</si>
  <si>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Cuba</t>
  </si>
  <si>
    <t>Guyana</t>
  </si>
  <si>
    <t>3/12/20</t>
  </si>
  <si>
    <t>3/13/20</t>
  </si>
  <si>
    <t>3/14/20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</si>
  <si>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</si>
  <si>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</si>
  <si>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</si>
  <si>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</si>
  <si>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</si>
  <si>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</si>
  <si>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</si>
  <si>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</si>
  <si>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</si>
  <si>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</si>
  <si>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</si>
  <si>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</si>
  <si>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</si>
  <si>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</si>
  <si>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</si>
  <si>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</si>
  <si>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</si>
  <si>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</si>
  <si>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</si>
  <si>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</si>
  <si>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</si>
  <si>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</si>
  <si>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</si>
  <si>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</si>
  <si>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</si>
  <si>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</si>
  <si>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Suriname</t>
  </si>
  <si>
    <t>3/15/20</t>
  </si>
  <si>
    <t>Guam</t>
  </si>
  <si>
    <t>Newfoundland and Labrador</t>
  </si>
  <si>
    <t>Prince Edward Island</t>
  </si>
  <si>
    <t>Central African Republic</t>
  </si>
  <si>
    <t>Equatorial Guinea</t>
  </si>
  <si>
    <t>Mayotte</t>
  </si>
  <si>
    <t>Uzbekistan</t>
  </si>
  <si>
    <t>3/16/20</t>
  </si>
  <si>
    <t>Nova Scotia</t>
  </si>
  <si>
    <t>Benin</t>
  </si>
  <si>
    <t>Greenland</t>
  </si>
  <si>
    <t>Liberia</t>
  </si>
  <si>
    <t>Somalia</t>
  </si>
  <si>
    <t>Tanzania</t>
  </si>
  <si>
    <t>country</t>
  </si>
  <si>
    <t>pop</t>
  </si>
  <si>
    <t>DR Congo</t>
  </si>
  <si>
    <t>Myanmar</t>
  </si>
  <si>
    <t>Uganda</t>
  </si>
  <si>
    <t>Angola</t>
  </si>
  <si>
    <t>Mozambique</t>
  </si>
  <si>
    <t>Yemen</t>
  </si>
  <si>
    <t>Madagascar</t>
  </si>
  <si>
    <t>Côte d'Ivoire</t>
  </si>
  <si>
    <t>North Korea</t>
  </si>
  <si>
    <t>Niger</t>
  </si>
  <si>
    <t>Taiwan</t>
  </si>
  <si>
    <t>Mali</t>
  </si>
  <si>
    <t>Malawi</t>
  </si>
  <si>
    <t>Zambia</t>
  </si>
  <si>
    <t>Syria</t>
  </si>
  <si>
    <t>Chad</t>
  </si>
  <si>
    <t>Zimbabwe</t>
  </si>
  <si>
    <t>Burundi</t>
  </si>
  <si>
    <t>Haiti</t>
  </si>
  <si>
    <t>South Sudan</t>
  </si>
  <si>
    <t>Tajikistan</t>
  </si>
  <si>
    <t>Papua New Guinea</t>
  </si>
  <si>
    <t>Sierra Leone</t>
  </si>
  <si>
    <t>Laos</t>
  </si>
  <si>
    <t>Libya</t>
  </si>
  <si>
    <t>Nicaragua</t>
  </si>
  <si>
    <t>Kyrgyzstan</t>
  </si>
  <si>
    <t>El Salvador</t>
  </si>
  <si>
    <t>Turkmenistan</t>
  </si>
  <si>
    <t>Congo</t>
  </si>
  <si>
    <t>State of Palestine</t>
  </si>
  <si>
    <t>Eritrea</t>
  </si>
  <si>
    <t>Gambia</t>
  </si>
  <si>
    <t>Botswana</t>
  </si>
  <si>
    <t>Lesotho</t>
  </si>
  <si>
    <t>Guinea-Bissau</t>
  </si>
  <si>
    <t>Timor-Leste</t>
  </si>
  <si>
    <t>Mauritius</t>
  </si>
  <si>
    <t>Djibouti</t>
  </si>
  <si>
    <t>Fiji</t>
  </si>
  <si>
    <t>Réunion</t>
  </si>
  <si>
    <t>Comoros</t>
  </si>
  <si>
    <t>Solomon Islands</t>
  </si>
  <si>
    <t>Macao</t>
  </si>
  <si>
    <t>Montenegro</t>
  </si>
  <si>
    <t>Western Sahara</t>
  </si>
  <si>
    <t>Cabo Verde</t>
  </si>
  <si>
    <t>Belize</t>
  </si>
  <si>
    <t>Bahamas</t>
  </si>
  <si>
    <t>Vanuatu</t>
  </si>
  <si>
    <t>Barbados</t>
  </si>
  <si>
    <t>New Caledonia</t>
  </si>
  <si>
    <t>Sao Tome &amp; Principe</t>
  </si>
  <si>
    <t>Samoa</t>
  </si>
  <si>
    <t>Curaçao</t>
  </si>
  <si>
    <t>Kiribati</t>
  </si>
  <si>
    <t>Micronesia</t>
  </si>
  <si>
    <t>Grenada</t>
  </si>
  <si>
    <t>St. Vincent &amp; Grenadines</t>
  </si>
  <si>
    <t>Tonga</t>
  </si>
  <si>
    <t>U.S. Virgin Islands</t>
  </si>
  <si>
    <t>Isle of Man</t>
  </si>
  <si>
    <t>Dominica</t>
  </si>
  <si>
    <t>Bermuda</t>
  </si>
  <si>
    <t>Marshall Islands</t>
  </si>
  <si>
    <t>Northern Mariana Islands</t>
  </si>
  <si>
    <t>American Samoa</t>
  </si>
  <si>
    <t>Saint Kitts &amp; Nevis</t>
  </si>
  <si>
    <t>Faeroe Islands</t>
  </si>
  <si>
    <t>Sint Maarten</t>
  </si>
  <si>
    <t>Turks and Caicos</t>
  </si>
  <si>
    <t>Saint Martin</t>
  </si>
  <si>
    <t>British Virgin Islands</t>
  </si>
  <si>
    <t>Caribbean Netherlands</t>
  </si>
  <si>
    <t>Palau</t>
  </si>
  <si>
    <t>Cook Islands</t>
  </si>
  <si>
    <t>Anguilla</t>
  </si>
  <si>
    <t>Tuvalu</t>
  </si>
  <si>
    <t>Wallis &amp; Futuna</t>
  </si>
  <si>
    <t>Nauru</t>
  </si>
  <si>
    <t>Saint Helena</t>
  </si>
  <si>
    <t>Saint Pierre &amp; Miquelon</t>
  </si>
  <si>
    <t>Montserrat</t>
  </si>
  <si>
    <t>Falkland Islands</t>
  </si>
  <si>
    <t>Niue</t>
  </si>
  <si>
    <t>Tokelau</t>
  </si>
  <si>
    <t>3/17/20</t>
  </si>
  <si>
    <t>Total</t>
  </si>
  <si>
    <t>Date</t>
  </si>
  <si>
    <t>3/18/20</t>
  </si>
  <si>
    <t>Colour</t>
  </si>
  <si>
    <t>#7629A6</t>
  </si>
  <si>
    <t>#BF0D3E</t>
  </si>
  <si>
    <t>#012169</t>
  </si>
  <si>
    <t>#FCE300</t>
  </si>
  <si>
    <t>#007A33</t>
  </si>
  <si>
    <t>#000000</t>
  </si>
  <si>
    <t>#229E8D</t>
  </si>
  <si>
    <t>#C79CD9</t>
  </si>
  <si>
    <t>#c108f5</t>
  </si>
  <si>
    <t>#c5c579</t>
  </si>
  <si>
    <t>#bc89fa</t>
  </si>
  <si>
    <t>#3D267D</t>
  </si>
  <si>
    <t>#3AEB7D</t>
  </si>
  <si>
    <t>#76e4d1</t>
  </si>
  <si>
    <t>#b6ea74</t>
  </si>
  <si>
    <t>#3148ce</t>
  </si>
  <si>
    <t>#1bb365</t>
  </si>
  <si>
    <t>#46e794</t>
  </si>
  <si>
    <t>#217e67</t>
  </si>
  <si>
    <t>#2dfd19</t>
  </si>
  <si>
    <t>#f10d1f</t>
  </si>
  <si>
    <t>#57e56c</t>
  </si>
  <si>
    <t>#91f2a6</t>
  </si>
  <si>
    <t>#86a7e5</t>
  </si>
  <si>
    <t>#fa1d44</t>
  </si>
  <si>
    <t>#0f408f</t>
  </si>
  <si>
    <t>#96e007</t>
  </si>
  <si>
    <t>#a4ce62</t>
  </si>
  <si>
    <t>#49d834</t>
  </si>
  <si>
    <t>#9be076</t>
  </si>
  <si>
    <t>#f34878</t>
  </si>
  <si>
    <t>#d084d7</t>
  </si>
  <si>
    <t>#b25e04</t>
  </si>
  <si>
    <t>#089e54</t>
  </si>
  <si>
    <t>#28930b</t>
  </si>
  <si>
    <t>#7e4bca</t>
  </si>
  <si>
    <t>#50113e</t>
  </si>
  <si>
    <t>#d6961d</t>
  </si>
  <si>
    <t>#124c3d</t>
  </si>
  <si>
    <t>#bc0e0d</t>
  </si>
  <si>
    <t>#37f412</t>
  </si>
  <si>
    <t>#2f925f</t>
  </si>
  <si>
    <t>#6d2997</t>
  </si>
  <si>
    <t>#8a8d41</t>
  </si>
  <si>
    <t>#b17c3b</t>
  </si>
  <si>
    <t>#56c98c</t>
  </si>
  <si>
    <t>#694bce</t>
  </si>
  <si>
    <t>#371cb0</t>
  </si>
  <si>
    <t>#5bbe37</t>
  </si>
  <si>
    <t>#9af44f</t>
  </si>
  <si>
    <t>#f6d0a8</t>
  </si>
  <si>
    <t>#42f701</t>
  </si>
  <si>
    <t>#ab1021</t>
  </si>
  <si>
    <t>#32e2b3</t>
  </si>
  <si>
    <t>#5d4b08</t>
  </si>
  <si>
    <t>#da60cf</t>
  </si>
  <si>
    <t>#016644</t>
  </si>
  <si>
    <t>#80cda8</t>
  </si>
  <si>
    <t>#42f775</t>
  </si>
  <si>
    <t>#ae126a</t>
  </si>
  <si>
    <t>#60d067</t>
  </si>
  <si>
    <t>#9093bc</t>
  </si>
  <si>
    <t>#976e84</t>
  </si>
  <si>
    <t>#39aab8</t>
  </si>
  <si>
    <t>#6b3667</t>
  </si>
  <si>
    <t>#1bd9d0</t>
  </si>
  <si>
    <t>#a77f5e</t>
  </si>
  <si>
    <t>#67988e</t>
  </si>
  <si>
    <t>#0b7502</t>
  </si>
  <si>
    <t>#fefe00</t>
  </si>
  <si>
    <t>#8afcfd</t>
  </si>
  <si>
    <t>#b6d112</t>
  </si>
  <si>
    <t>#4ccbb6</t>
  </si>
  <si>
    <t>#4a42f0</t>
  </si>
  <si>
    <t>#4ac7bb</t>
  </si>
  <si>
    <t>#8a1597</t>
  </si>
  <si>
    <t>#41271d</t>
  </si>
  <si>
    <t>#a40691</t>
  </si>
  <si>
    <t>#0cf738</t>
  </si>
  <si>
    <t>#d8841e</t>
  </si>
  <si>
    <t>#ba976e</t>
  </si>
  <si>
    <t>#83aeac</t>
  </si>
  <si>
    <t>#bab363</t>
  </si>
  <si>
    <t>#55cd0e</t>
  </si>
  <si>
    <t>#195d3c</t>
  </si>
  <si>
    <t>#6c1cd0</t>
  </si>
  <si>
    <t>#d28060</t>
  </si>
  <si>
    <t>#6abdd7</t>
  </si>
  <si>
    <t>#e1e5f5</t>
  </si>
  <si>
    <t>#6baad9</t>
  </si>
  <si>
    <t>#d87346</t>
  </si>
  <si>
    <t>#988faa</t>
  </si>
  <si>
    <t>#81c519</t>
  </si>
  <si>
    <t>#0ecf60</t>
  </si>
  <si>
    <t>#34ea58</t>
  </si>
  <si>
    <t>#0f8ba7</t>
  </si>
  <si>
    <t>#559eda</t>
  </si>
  <si>
    <t>#670604</t>
  </si>
  <si>
    <t>#bc4fd8</t>
  </si>
  <si>
    <t>#96a1c7</t>
  </si>
  <si>
    <t>#b64e09</t>
  </si>
  <si>
    <t>#887c5a</t>
  </si>
  <si>
    <t>#c67fcc</t>
  </si>
  <si>
    <t>#91ea55</t>
  </si>
  <si>
    <t>#b7c3b0</t>
  </si>
  <si>
    <t>#0036d2</t>
  </si>
  <si>
    <t>#7ed25a</t>
  </si>
  <si>
    <t>#4d160b</t>
  </si>
  <si>
    <t>#fd716c</t>
  </si>
  <si>
    <t>#d0ea24</t>
  </si>
  <si>
    <t>#505780</t>
  </si>
  <si>
    <t>#56aa6e</t>
  </si>
  <si>
    <t>#fc480b</t>
  </si>
  <si>
    <t>#84af41</t>
  </si>
  <si>
    <t>#53bc19</t>
  </si>
  <si>
    <t>#0618ce</t>
  </si>
  <si>
    <t>#6d6838</t>
  </si>
  <si>
    <t>#fc890b</t>
  </si>
  <si>
    <t>#ed83a3</t>
  </si>
  <si>
    <t>#8cc0fe</t>
  </si>
  <si>
    <t>#31666c</t>
  </si>
  <si>
    <t>#2fa88b</t>
  </si>
  <si>
    <t>#64808a</t>
  </si>
  <si>
    <t>#4e7252</t>
  </si>
  <si>
    <t>#5778c0</t>
  </si>
  <si>
    <t>#2bee1e</t>
  </si>
  <si>
    <t>#26c9d2</t>
  </si>
  <si>
    <t>#55e1ee</t>
  </si>
  <si>
    <t>#485820</t>
  </si>
  <si>
    <t>#620fc3</t>
  </si>
  <si>
    <t>#664d01</t>
  </si>
  <si>
    <t>#b35348</t>
  </si>
  <si>
    <t>#d32313</t>
  </si>
  <si>
    <t>#8ca196</t>
  </si>
  <si>
    <t>#441ff4</t>
  </si>
  <si>
    <t>#e4a510</t>
  </si>
  <si>
    <t>#49c194</t>
  </si>
  <si>
    <t>#8465f5</t>
  </si>
  <si>
    <t>#2cda84</t>
  </si>
  <si>
    <t>#7de64f</t>
  </si>
  <si>
    <t>#6a0170</t>
  </si>
  <si>
    <t>#c5e625</t>
  </si>
  <si>
    <t>#51a325</t>
  </si>
  <si>
    <t>#7856ca</t>
  </si>
  <si>
    <t>#0b9928</t>
  </si>
  <si>
    <t>#3b11c2</t>
  </si>
  <si>
    <t>#f862b2</t>
  </si>
  <si>
    <t>#0f194d</t>
  </si>
  <si>
    <t>#2ee1e6</t>
  </si>
  <si>
    <t>#0a8677</t>
  </si>
  <si>
    <t>#c3563b</t>
  </si>
  <si>
    <t>#c2229f</t>
  </si>
  <si>
    <t>#257d37</t>
  </si>
  <si>
    <t>#cf9301</t>
  </si>
  <si>
    <t>#ead06b</t>
  </si>
  <si>
    <t>#c879cb</t>
  </si>
  <si>
    <t>#cdf0c9</t>
  </si>
  <si>
    <t>#c18383</t>
  </si>
  <si>
    <t>#9c5be7</t>
  </si>
  <si>
    <t>#239605</t>
  </si>
  <si>
    <t>#b2bd90</t>
  </si>
  <si>
    <t>#8ec953</t>
  </si>
  <si>
    <t>#e180f1</t>
  </si>
  <si>
    <t>#e92b77</t>
  </si>
  <si>
    <t>#fb7176</t>
  </si>
  <si>
    <t>#d557e6</t>
  </si>
  <si>
    <t>#def881</t>
  </si>
  <si>
    <t>#4c165c</t>
  </si>
  <si>
    <t>#88ea66</t>
  </si>
  <si>
    <t>#8b2abd</t>
  </si>
  <si>
    <t>#1f2e2d</t>
  </si>
  <si>
    <t>#0dc55c</t>
  </si>
  <si>
    <t>#0222b8</t>
  </si>
  <si>
    <t>#79a61f</t>
  </si>
  <si>
    <t>#38bf21</t>
  </si>
  <si>
    <t>#fb8df5</t>
  </si>
  <si>
    <t>#29fe77</t>
  </si>
  <si>
    <t>#d5a54c</t>
  </si>
  <si>
    <t>#fe66a6</t>
  </si>
  <si>
    <t>#3405de</t>
  </si>
  <si>
    <t>#ec5655</t>
  </si>
  <si>
    <t>#33c9fb</t>
  </si>
  <si>
    <t>#49eeab</t>
  </si>
  <si>
    <t>#19d235</t>
  </si>
  <si>
    <t>#2e6552</t>
  </si>
  <si>
    <t>#611456</t>
  </si>
  <si>
    <t>#3b8c5c</t>
  </si>
  <si>
    <t>#6f622b</t>
  </si>
  <si>
    <t>#454888</t>
  </si>
  <si>
    <t>#e00e5f</t>
  </si>
  <si>
    <t>#b4cc1c</t>
  </si>
  <si>
    <t>#d98c4f</t>
  </si>
  <si>
    <t>#c905f4</t>
  </si>
  <si>
    <t>#24b19d</t>
  </si>
  <si>
    <t>#4a0f2b</t>
  </si>
  <si>
    <t>#42a740</t>
  </si>
  <si>
    <t>#f89c51</t>
  </si>
  <si>
    <t>#50f778</t>
  </si>
  <si>
    <t>#817df2</t>
  </si>
  <si>
    <t>#29ed80</t>
  </si>
  <si>
    <t>#7368e0</t>
  </si>
  <si>
    <t>#4b6306</t>
  </si>
  <si>
    <t>#1853d8</t>
  </si>
  <si>
    <t>#02970f</t>
  </si>
  <si>
    <t>#6017d9</t>
  </si>
  <si>
    <t>#be2453</t>
  </si>
  <si>
    <t>#0003a0</t>
  </si>
  <si>
    <t>#47e671</t>
  </si>
  <si>
    <t>#0d64d3</t>
  </si>
  <si>
    <t>#a3580e</t>
  </si>
  <si>
    <t>#5c9f17</t>
  </si>
  <si>
    <t>#74af49</t>
  </si>
  <si>
    <t>#bcfdab</t>
  </si>
  <si>
    <t>#252953</t>
  </si>
  <si>
    <t>#67f504</t>
  </si>
  <si>
    <t>#42eee0</t>
  </si>
  <si>
    <t>#9dc158</t>
  </si>
  <si>
    <t>#9f29e9</t>
  </si>
  <si>
    <t>#df2b80</t>
  </si>
  <si>
    <t>#6f3efe</t>
  </si>
  <si>
    <t>#3174fa</t>
  </si>
  <si>
    <t>#c9a5f7</t>
  </si>
  <si>
    <t>#f6eb66</t>
  </si>
  <si>
    <t>#900225</t>
  </si>
  <si>
    <t>#a6dad8</t>
  </si>
  <si>
    <t>#4cdff0</t>
  </si>
  <si>
    <t>#6cc974</t>
  </si>
  <si>
    <t>#f20695</t>
  </si>
  <si>
    <t>#b5bc76</t>
  </si>
  <si>
    <t>#2c9383</t>
  </si>
  <si>
    <t>#c74cbf</t>
  </si>
  <si>
    <t>#acf2b4</t>
  </si>
  <si>
    <t>#589c4f</t>
  </si>
  <si>
    <t>#0b4a03</t>
  </si>
  <si>
    <t>3/19/20</t>
  </si>
  <si>
    <t>58</t>
  </si>
  <si>
    <t>#6c5ce0</t>
  </si>
  <si>
    <t>3/20/20</t>
  </si>
  <si>
    <t>59</t>
  </si>
  <si>
    <t>3/21/20</t>
  </si>
  <si>
    <t>60</t>
  </si>
  <si>
    <t>3/22/20</t>
  </si>
  <si>
    <t>61</t>
  </si>
  <si>
    <t>#2010d2</t>
  </si>
  <si>
    <t>#00a23b</t>
  </si>
  <si>
    <t>#febf00</t>
  </si>
  <si>
    <t>#842a62</t>
  </si>
  <si>
    <t>#8FB800</t>
  </si>
  <si>
    <t>CountryList</t>
  </si>
  <si>
    <t>#0000ff</t>
  </si>
  <si>
    <t>#FF7F00</t>
  </si>
  <si>
    <t>#de0000</t>
  </si>
  <si>
    <t>3/23/20</t>
  </si>
  <si>
    <t>62</t>
  </si>
  <si>
    <t>3/24/20</t>
  </si>
  <si>
    <t>Recovered</t>
  </si>
  <si>
    <t>63</t>
  </si>
  <si>
    <t>This list is sourced from power query functions. Edit it there. (Data &gt; Queries &amp; Connections, double click on the CountryList one to open the power queries)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</si>
</sst>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2" borderId="1" xfId="0" applyFont="1" applyFill="1" applyBorder="1"/>
    <xf numFmtId="1" fontId="0" fillId="0" borderId="0" xfId="0" applyNumberFormat="1"/>
  </cellXfs>
  <cellStyles count="1">
    <cellStyle name="Normal" xfId="0" builtinId="0"/>
  </cellStyles>
  <dxfs count="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8.xml"/><Relationship Id="rId13" Type="http://schemas.openxmlformats.org/officeDocument/2006/relationships/worksheet" Target="worksheets/sheet3.xml"/><Relationship Id="rId18" Type="http://schemas.openxmlformats.org/officeDocument/2006/relationships/worksheet" Target="worksheets/sheet8.xml"/><Relationship Id="rId26" Type="http://schemas.openxmlformats.org/officeDocument/2006/relationships/theme" Target="theme/theme1.xml"/><Relationship Id="rId3" Type="http://schemas.openxmlformats.org/officeDocument/2006/relationships/chartsheet" Target="chartsheets/sheet3.xml"/><Relationship Id="rId21" Type="http://schemas.openxmlformats.org/officeDocument/2006/relationships/worksheet" Target="worksheets/sheet11.xml"/><Relationship Id="rId7" Type="http://schemas.openxmlformats.org/officeDocument/2006/relationships/chartsheet" Target="chartsheets/sheet7.xml"/><Relationship Id="rId12" Type="http://schemas.openxmlformats.org/officeDocument/2006/relationships/worksheet" Target="worksheets/sheet2.xml"/><Relationship Id="rId17" Type="http://schemas.openxmlformats.org/officeDocument/2006/relationships/worksheet" Target="worksheets/sheet7.xml"/><Relationship Id="rId25" Type="http://schemas.openxmlformats.org/officeDocument/2006/relationships/worksheet" Target="worksheets/sheet14.xml"/><Relationship Id="rId2" Type="http://schemas.openxmlformats.org/officeDocument/2006/relationships/chartsheet" Target="chartsheets/sheet2.xml"/><Relationship Id="rId16" Type="http://schemas.openxmlformats.org/officeDocument/2006/relationships/worksheet" Target="worksheets/sheet6.xml"/><Relationship Id="rId20" Type="http://schemas.openxmlformats.org/officeDocument/2006/relationships/worksheet" Target="worksheets/sheet10.xml"/><Relationship Id="rId29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worksheet" Target="worksheets/sheet1.xml"/><Relationship Id="rId24" Type="http://schemas.openxmlformats.org/officeDocument/2006/relationships/chartsheet" Target="chartsheets/sheet11.xml"/><Relationship Id="rId32" Type="http://schemas.microsoft.com/office/2006/relationships/vbaProject" Target="vbaProject.bin"/><Relationship Id="rId5" Type="http://schemas.openxmlformats.org/officeDocument/2006/relationships/chartsheet" Target="chartsheets/sheet5.xml"/><Relationship Id="rId15" Type="http://schemas.openxmlformats.org/officeDocument/2006/relationships/worksheet" Target="worksheets/sheet5.xml"/><Relationship Id="rId23" Type="http://schemas.openxmlformats.org/officeDocument/2006/relationships/worksheet" Target="worksheets/sheet13.xml"/><Relationship Id="rId28" Type="http://schemas.openxmlformats.org/officeDocument/2006/relationships/styles" Target="styles.xml"/><Relationship Id="rId10" Type="http://schemas.openxmlformats.org/officeDocument/2006/relationships/chartsheet" Target="chartsheets/sheet10.xml"/><Relationship Id="rId19" Type="http://schemas.openxmlformats.org/officeDocument/2006/relationships/worksheet" Target="worksheets/sheet9.xml"/><Relationship Id="rId31" Type="http://schemas.openxmlformats.org/officeDocument/2006/relationships/customXml" Target="../customXml/item1.xml"/><Relationship Id="rId4" Type="http://schemas.openxmlformats.org/officeDocument/2006/relationships/chartsheet" Target="chartsheets/sheet4.xml"/><Relationship Id="rId9" Type="http://schemas.openxmlformats.org/officeDocument/2006/relationships/chartsheet" Target="chartsheets/sheet9.xml"/><Relationship Id="rId14" Type="http://schemas.openxmlformats.org/officeDocument/2006/relationships/worksheet" Target="worksheets/sheet4.xml"/><Relationship Id="rId22" Type="http://schemas.openxmlformats.org/officeDocument/2006/relationships/worksheet" Target="worksheets/sheet1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578802651820695E-2"/>
          <c:y val="6.0897497702897027E-2"/>
          <c:w val="0.91820216990626002"/>
          <c:h val="0.89935417413482655"/>
        </c:manualLayout>
      </c:layout>
      <c:lineChart>
        <c:grouping val="standard"/>
        <c:varyColors val="0"/>
        <c:ser>
          <c:idx val="0"/>
          <c:order val="0"/>
          <c:tx>
            <c:strRef>
              <c:f>'Deaths Days + Pop'!$A$2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Pop'!$B$1:$BL$1</c15:sqref>
                  </c15:fullRef>
                </c:ext>
              </c:extLst>
              <c:f>('Deaths Days + Pop'!$B$1:$AT$1,'Deaths Days + Pop'!$BK$1:$BL$1)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Pop'!$B$2:$BL$2</c15:sqref>
                  </c15:fullRef>
                </c:ext>
              </c:extLst>
              <c:f>('Deaths Days + Pop'!$B$2:$AT$2,'Deaths Days + Pop'!$BK$2:$BL$2)</c:f>
              <c:numCache>
                <c:formatCode>General</c:formatCode>
                <c:ptCount val="47"/>
                <c:pt idx="0">
                  <c:v>3.9215864668247113E-2</c:v>
                </c:pt>
                <c:pt idx="1">
                  <c:v>3.9215864668247113E-2</c:v>
                </c:pt>
                <c:pt idx="2">
                  <c:v>3.9215864668247113E-2</c:v>
                </c:pt>
                <c:pt idx="3">
                  <c:v>7.8431729336494227E-2</c:v>
                </c:pt>
                <c:pt idx="4">
                  <c:v>7.8431729336494227E-2</c:v>
                </c:pt>
                <c:pt idx="5">
                  <c:v>7.8431729336494227E-2</c:v>
                </c:pt>
                <c:pt idx="6">
                  <c:v>7.8431729336494227E-2</c:v>
                </c:pt>
                <c:pt idx="7">
                  <c:v>0.11764759400474135</c:v>
                </c:pt>
                <c:pt idx="8">
                  <c:v>0.11764759400474135</c:v>
                </c:pt>
                <c:pt idx="9">
                  <c:v>0.11764759400474135</c:v>
                </c:pt>
                <c:pt idx="10">
                  <c:v>0.11764759400474135</c:v>
                </c:pt>
                <c:pt idx="11">
                  <c:v>0.11764759400474135</c:v>
                </c:pt>
                <c:pt idx="12">
                  <c:v>0.11764759400474135</c:v>
                </c:pt>
                <c:pt idx="13">
                  <c:v>0.11764759400474135</c:v>
                </c:pt>
                <c:pt idx="14">
                  <c:v>0.11764759400474135</c:v>
                </c:pt>
                <c:pt idx="15">
                  <c:v>0.11764759400474135</c:v>
                </c:pt>
                <c:pt idx="16">
                  <c:v>0.19607932334123557</c:v>
                </c:pt>
                <c:pt idx="17">
                  <c:v>0.23529518800948271</c:v>
                </c:pt>
                <c:pt idx="18">
                  <c:v>0.23529518800948271</c:v>
                </c:pt>
                <c:pt idx="19">
                  <c:v>0.27451105267772979</c:v>
                </c:pt>
                <c:pt idx="20">
                  <c:v>0.27451105267772979</c:v>
                </c:pt>
                <c:pt idx="21">
                  <c:v>0.27451105267772979</c:v>
                </c:pt>
                <c:pt idx="22">
                  <c:v>0.27451105267772979</c:v>
                </c:pt>
                <c:pt idx="23">
                  <c:v>0.31372691734597691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0-4062-AA41-DF6A15BD611C}"/>
            </c:ext>
          </c:extLst>
        </c:ser>
        <c:ser>
          <c:idx val="1"/>
          <c:order val="1"/>
          <c:tx>
            <c:strRef>
              <c:f>'Deaths Days + Pop'!$A$3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Pop'!$B$1:$BL$1</c15:sqref>
                  </c15:fullRef>
                </c:ext>
              </c:extLst>
              <c:f>('Deaths Days + Pop'!$B$1:$AT$1,'Deaths Days + Pop'!$BK$1:$BL$1)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Pop'!$B$3:$BL$3</c15:sqref>
                  </c15:fullRef>
                </c:ext>
              </c:extLst>
              <c:f>('Deaths Days + Pop'!$B$3:$AT$3,'Deaths Days + Pop'!$BK$3:$BL$3)</c:f>
              <c:numCache>
                <c:formatCode>General</c:formatCode>
                <c:ptCount val="47"/>
                <c:pt idx="0">
                  <c:v>2.6495573093152022E-2</c:v>
                </c:pt>
                <c:pt idx="1">
                  <c:v>2.6495573093152022E-2</c:v>
                </c:pt>
                <c:pt idx="2">
                  <c:v>2.6495573093152022E-2</c:v>
                </c:pt>
                <c:pt idx="3">
                  <c:v>2.6495573093152022E-2</c:v>
                </c:pt>
                <c:pt idx="4">
                  <c:v>2.6495573093152022E-2</c:v>
                </c:pt>
                <c:pt idx="5">
                  <c:v>2.6495573093152022E-2</c:v>
                </c:pt>
                <c:pt idx="6">
                  <c:v>2.6495573093152022E-2</c:v>
                </c:pt>
                <c:pt idx="7">
                  <c:v>0.10598229237260809</c:v>
                </c:pt>
                <c:pt idx="8">
                  <c:v>0.13247786546576013</c:v>
                </c:pt>
                <c:pt idx="9">
                  <c:v>0.21196458474521618</c:v>
                </c:pt>
                <c:pt idx="10">
                  <c:v>0.23846015783836821</c:v>
                </c:pt>
                <c:pt idx="11">
                  <c:v>0.31794687711782427</c:v>
                </c:pt>
                <c:pt idx="12">
                  <c:v>0.50341588876988841</c:v>
                </c:pt>
                <c:pt idx="13">
                  <c:v>0.55640703495619248</c:v>
                </c:pt>
                <c:pt idx="14">
                  <c:v>0.66238932732880063</c:v>
                </c:pt>
                <c:pt idx="15">
                  <c:v>0.68888490042195261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0-4062-AA41-DF6A15BD611C}"/>
            </c:ext>
          </c:extLst>
        </c:ser>
        <c:ser>
          <c:idx val="2"/>
          <c:order val="2"/>
          <c:tx>
            <c:strRef>
              <c:f>'Deaths Days + Pop'!$A$4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Pop'!$B$1:$BL$1</c15:sqref>
                  </c15:fullRef>
                </c:ext>
              </c:extLst>
              <c:f>('Deaths Days + Pop'!$B$1:$AT$1,'Deaths Days + Pop'!$BK$1:$BL$1)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Pop'!$B$4:$BL$4</c15:sqref>
                  </c15:fullRef>
                </c:ext>
              </c:extLst>
              <c:f>('Deaths Days + Pop'!$B$4:$AT$4,'Deaths Days + Pop'!$BK$4:$BL$4)</c:f>
              <c:numCache>
                <c:formatCode>General</c:formatCode>
                <c:ptCount val="47"/>
                <c:pt idx="0">
                  <c:v>1.1811102049077803E-2</c:v>
                </c:pt>
                <c:pt idx="1">
                  <c:v>1.2505872757847085E-2</c:v>
                </c:pt>
                <c:pt idx="2">
                  <c:v>1.8064038428001347E-2</c:v>
                </c:pt>
                <c:pt idx="3">
                  <c:v>2.9180369768309865E-2</c:v>
                </c:pt>
                <c:pt idx="4">
                  <c:v>3.8907159691079822E-2</c:v>
                </c:pt>
                <c:pt idx="5">
                  <c:v>5.6971198119081169E-2</c:v>
                </c:pt>
                <c:pt idx="6">
                  <c:v>9.1014962848776013E-2</c:v>
                </c:pt>
                <c:pt idx="7">
                  <c:v>9.240450426631458E-2</c:v>
                </c:pt>
                <c:pt idx="8">
                  <c:v>0.11880579119954732</c:v>
                </c:pt>
                <c:pt idx="9">
                  <c:v>0.14798616096785719</c:v>
                </c:pt>
                <c:pt idx="10">
                  <c:v>0.17994561357124417</c:v>
                </c:pt>
                <c:pt idx="11">
                  <c:v>0.250812225865711</c:v>
                </c:pt>
                <c:pt idx="12">
                  <c:v>0.29527755122694505</c:v>
                </c:pt>
                <c:pt idx="13">
                  <c:v>0.3411324180057177</c:v>
                </c:pt>
                <c:pt idx="14">
                  <c:v>0.39115590903710606</c:v>
                </c:pt>
                <c:pt idx="15">
                  <c:v>0.43978985865095582</c:v>
                </c:pt>
                <c:pt idx="16">
                  <c:v>0.49884536889634484</c:v>
                </c:pt>
                <c:pt idx="17">
                  <c:v>0.55929042055927247</c:v>
                </c:pt>
                <c:pt idx="18">
                  <c:v>0.6287674914362007</c:v>
                </c:pt>
                <c:pt idx="19">
                  <c:v>0.70310795727451392</c:v>
                </c:pt>
                <c:pt idx="20">
                  <c:v>0.77258502815144214</c:v>
                </c:pt>
                <c:pt idx="21">
                  <c:v>0.77605888169528858</c:v>
                </c:pt>
                <c:pt idx="22">
                  <c:v>0.95114110030514776</c:v>
                </c:pt>
                <c:pt idx="23">
                  <c:v>1.0567462480380787</c:v>
                </c:pt>
                <c:pt idx="24">
                  <c:v>1.1554036886833168</c:v>
                </c:pt>
                <c:pt idx="25">
                  <c:v>1.226965071686553</c:v>
                </c:pt>
                <c:pt idx="26">
                  <c:v>1.2950526011459427</c:v>
                </c:pt>
                <c:pt idx="27">
                  <c:v>1.3916257296648729</c:v>
                </c:pt>
                <c:pt idx="28">
                  <c:v>1.4701348197558017</c:v>
                </c:pt>
                <c:pt idx="29">
                  <c:v>1.5548968462256543</c:v>
                </c:pt>
                <c:pt idx="30">
                  <c:v>1.5548968462256543</c:v>
                </c:pt>
                <c:pt idx="31">
                  <c:v>1.6973248415233573</c:v>
                </c:pt>
                <c:pt idx="32">
                  <c:v>1.6987143829408957</c:v>
                </c:pt>
                <c:pt idx="33">
                  <c:v>1.8029299892562882</c:v>
                </c:pt>
                <c:pt idx="34">
                  <c:v>1.8515639388701379</c:v>
                </c:pt>
                <c:pt idx="35">
                  <c:v>1.8876920157261405</c:v>
                </c:pt>
                <c:pt idx="36">
                  <c:v>1.9078403662804497</c:v>
                </c:pt>
                <c:pt idx="37">
                  <c:v>1.9384102774662983</c:v>
                </c:pt>
                <c:pt idx="38">
                  <c:v>1.9710645007784544</c:v>
                </c:pt>
                <c:pt idx="39">
                  <c:v>1.9953814755853794</c:v>
                </c:pt>
                <c:pt idx="40">
                  <c:v>2.0245618453536891</c:v>
                </c:pt>
                <c:pt idx="41">
                  <c:v>2.0474892787430754</c:v>
                </c:pt>
                <c:pt idx="42">
                  <c:v>2.0725010242587696</c:v>
                </c:pt>
                <c:pt idx="43">
                  <c:v>2.0947336869393869</c:v>
                </c:pt>
                <c:pt idx="44">
                  <c:v>2.1148820374936959</c:v>
                </c:pt>
                <c:pt idx="45">
                  <c:v>2.2746793005106309</c:v>
                </c:pt>
                <c:pt idx="46">
                  <c:v>2.2795426954720162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20-4062-AA41-DF6A15BD611C}"/>
            </c:ext>
          </c:extLst>
        </c:ser>
        <c:ser>
          <c:idx val="3"/>
          <c:order val="3"/>
          <c:tx>
            <c:strRef>
              <c:f>'Deaths Days + Pop'!$A$5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Pop'!$B$1:$BL$1</c15:sqref>
                  </c15:fullRef>
                </c:ext>
              </c:extLst>
              <c:f>('Deaths Days + Pop'!$B$1:$AT$1,'Deaths Days + Pop'!$BK$1:$BL$1)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Pop'!$B$5:$BL$5</c15:sqref>
                  </c15:fullRef>
                </c:ext>
              </c:extLst>
              <c:f>('Deaths Days + Pop'!$B$5:$AT$5,'Deaths Days + Pop'!$BK$5:$BL$5)</c:f>
              <c:numCache>
                <c:formatCode>General</c:formatCode>
                <c:ptCount val="47"/>
                <c:pt idx="0">
                  <c:v>0.17264591255622647</c:v>
                </c:pt>
                <c:pt idx="1">
                  <c:v>0.34529182511245293</c:v>
                </c:pt>
                <c:pt idx="2">
                  <c:v>0.51793773766867945</c:v>
                </c:pt>
                <c:pt idx="3">
                  <c:v>0.69058365022490587</c:v>
                </c:pt>
                <c:pt idx="4">
                  <c:v>0.69058365022490587</c:v>
                </c:pt>
                <c:pt idx="5">
                  <c:v>1.0358754753373589</c:v>
                </c:pt>
                <c:pt idx="6">
                  <c:v>1.5538132130060383</c:v>
                </c:pt>
                <c:pt idx="7">
                  <c:v>2.2443968632309441</c:v>
                </c:pt>
                <c:pt idx="8">
                  <c:v>2.2443968632309441</c:v>
                </c:pt>
                <c:pt idx="9">
                  <c:v>4.1435019013494356</c:v>
                </c:pt>
                <c:pt idx="10">
                  <c:v>5.5246692017992469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20-4062-AA41-DF6A15BD611C}"/>
            </c:ext>
          </c:extLst>
        </c:ser>
        <c:ser>
          <c:idx val="4"/>
          <c:order val="4"/>
          <c:tx>
            <c:strRef>
              <c:f>'Deaths Days + Pop'!$A$6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Pop'!$B$1:$BL$1</c15:sqref>
                  </c15:fullRef>
                </c:ext>
              </c:extLst>
              <c:f>('Deaths Days + Pop'!$B$1:$AT$1,'Deaths Days + Pop'!$BK$1:$BL$1)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Pop'!$B$6:$BL$6</c15:sqref>
                  </c15:fullRef>
                </c:ext>
              </c:extLst>
              <c:f>('Deaths Days + Pop'!$B$6:$AT$6,'Deaths Days + Pop'!$BK$6:$BL$6)</c:f>
              <c:numCache>
                <c:formatCode>General</c:formatCode>
                <c:ptCount val="47"/>
                <c:pt idx="0">
                  <c:v>1.5320150313348397E-2</c:v>
                </c:pt>
                <c:pt idx="1">
                  <c:v>1.5320150313348397E-2</c:v>
                </c:pt>
                <c:pt idx="2">
                  <c:v>1.5320150313348397E-2</c:v>
                </c:pt>
                <c:pt idx="3">
                  <c:v>1.5320150313348397E-2</c:v>
                </c:pt>
                <c:pt idx="4">
                  <c:v>1.5320150313348397E-2</c:v>
                </c:pt>
                <c:pt idx="5">
                  <c:v>1.5320150313348397E-2</c:v>
                </c:pt>
                <c:pt idx="6">
                  <c:v>1.5320150313348397E-2</c:v>
                </c:pt>
                <c:pt idx="7">
                  <c:v>1.5320150313348397E-2</c:v>
                </c:pt>
                <c:pt idx="8">
                  <c:v>1.5320150313348397E-2</c:v>
                </c:pt>
                <c:pt idx="9">
                  <c:v>1.5320150313348397E-2</c:v>
                </c:pt>
                <c:pt idx="10">
                  <c:v>1.5320150313348397E-2</c:v>
                </c:pt>
                <c:pt idx="11">
                  <c:v>3.0640300626696794E-2</c:v>
                </c:pt>
                <c:pt idx="12">
                  <c:v>3.0640300626696794E-2</c:v>
                </c:pt>
                <c:pt idx="13">
                  <c:v>3.0640300626696794E-2</c:v>
                </c:pt>
                <c:pt idx="14">
                  <c:v>3.0640300626696794E-2</c:v>
                </c:pt>
                <c:pt idx="15">
                  <c:v>3.0640300626696794E-2</c:v>
                </c:pt>
                <c:pt idx="16">
                  <c:v>4.5960450940045187E-2</c:v>
                </c:pt>
                <c:pt idx="17">
                  <c:v>6.1280601253393588E-2</c:v>
                </c:pt>
                <c:pt idx="18">
                  <c:v>6.1280601253393588E-2</c:v>
                </c:pt>
                <c:pt idx="19">
                  <c:v>9.1920901880090375E-2</c:v>
                </c:pt>
                <c:pt idx="20">
                  <c:v>0.13788135282013558</c:v>
                </c:pt>
                <c:pt idx="21">
                  <c:v>0.16852165344683237</c:v>
                </c:pt>
                <c:pt idx="22">
                  <c:v>0.29108285595361955</c:v>
                </c:pt>
                <c:pt idx="23">
                  <c:v>0.29108285595361955</c:v>
                </c:pt>
                <c:pt idx="24">
                  <c:v>0.50556496034049714</c:v>
                </c:pt>
                <c:pt idx="25">
                  <c:v>0.735367215040723</c:v>
                </c:pt>
                <c:pt idx="26">
                  <c:v>0.735367215040723</c:v>
                </c:pt>
                <c:pt idx="27">
                  <c:v>1.2102918747545233</c:v>
                </c:pt>
                <c:pt idx="28">
                  <c:v>1.394133678514704</c:v>
                </c:pt>
                <c:pt idx="29">
                  <c:v>1.394133678514704</c:v>
                </c:pt>
                <c:pt idx="30">
                  <c:v>2.2827023966889111</c:v>
                </c:pt>
                <c:pt idx="31">
                  <c:v>2.2827023966889111</c:v>
                </c:pt>
                <c:pt idx="32">
                  <c:v>2.2827023966889111</c:v>
                </c:pt>
                <c:pt idx="33">
                  <c:v>3.7381166764570088</c:v>
                </c:pt>
                <c:pt idx="34">
                  <c:v>6.9093877913201265</c:v>
                </c:pt>
                <c:pt idx="35">
                  <c:v>8.6252446264151477</c:v>
                </c:pt>
                <c:pt idx="36">
                  <c:v>10.356421611823516</c:v>
                </c:pt>
                <c:pt idx="37">
                  <c:v>13.205969570106317</c:v>
                </c:pt>
                <c:pt idx="38">
                  <c:v>16.882805645309933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20-4062-AA41-DF6A15BD611C}"/>
            </c:ext>
          </c:extLst>
        </c:ser>
        <c:ser>
          <c:idx val="5"/>
          <c:order val="5"/>
          <c:tx>
            <c:strRef>
              <c:f>'Deaths Days + Pop'!$A$7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Pop'!$B$1:$BL$1</c15:sqref>
                  </c15:fullRef>
                </c:ext>
              </c:extLst>
              <c:f>('Deaths Days + Pop'!$B$1:$AT$1,'Deaths Days + Pop'!$BK$1:$BL$1)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Pop'!$B$7:$BL$7</c15:sqref>
                  </c15:fullRef>
                </c:ext>
              </c:extLst>
              <c:f>('Deaths Days + Pop'!$B$7:$AT$7,'Deaths Days + Pop'!$BK$7:$BL$7)</c:f>
              <c:numCache>
                <c:formatCode>General</c:formatCode>
                <c:ptCount val="47"/>
                <c:pt idx="0">
                  <c:v>2.3870922664393137E-2</c:v>
                </c:pt>
                <c:pt idx="1">
                  <c:v>2.3870922664393137E-2</c:v>
                </c:pt>
                <c:pt idx="2">
                  <c:v>3.5806383996589704E-2</c:v>
                </c:pt>
                <c:pt idx="3">
                  <c:v>3.5806383996589704E-2</c:v>
                </c:pt>
                <c:pt idx="4">
                  <c:v>8.3548229325375978E-2</c:v>
                </c:pt>
                <c:pt idx="5">
                  <c:v>0.10741915198976912</c:v>
                </c:pt>
                <c:pt idx="6">
                  <c:v>0.13129007465416226</c:v>
                </c:pt>
                <c:pt idx="7">
                  <c:v>0.20290284264734168</c:v>
                </c:pt>
                <c:pt idx="8">
                  <c:v>0.28645107197271763</c:v>
                </c:pt>
                <c:pt idx="9">
                  <c:v>0.33419291730150391</c:v>
                </c:pt>
                <c:pt idx="10">
                  <c:v>0.52516029861664903</c:v>
                </c:pt>
                <c:pt idx="11">
                  <c:v>0.79967590925717014</c:v>
                </c:pt>
                <c:pt idx="12">
                  <c:v>1.0025787519045117</c:v>
                </c:pt>
                <c:pt idx="13">
                  <c:v>1.1219333652264774</c:v>
                </c:pt>
                <c:pt idx="14">
                  <c:v>1.468061743860178</c:v>
                </c:pt>
                <c:pt idx="15">
                  <c:v>1.8738674291548614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20-4062-AA41-DF6A15BD611C}"/>
            </c:ext>
          </c:extLst>
        </c:ser>
        <c:ser>
          <c:idx val="6"/>
          <c:order val="6"/>
          <c:tx>
            <c:strRef>
              <c:f>'Deaths Days + Pop'!$A$8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Pop'!$B$1:$BL$1</c15:sqref>
                  </c15:fullRef>
                </c:ext>
              </c:extLst>
              <c:f>('Deaths Days + Pop'!$B$1:$AT$1,'Deaths Days + Pop'!$BK$1:$BL$1)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Pop'!$B$8:$BL$8</c15:sqref>
                  </c15:fullRef>
                </c:ext>
              </c:extLst>
              <c:f>('Deaths Days + Pop'!$B$8:$AT$8,'Deaths Days + Pop'!$BK$8:$BL$8)</c:f>
              <c:numCache>
                <c:formatCode>General</c:formatCode>
                <c:ptCount val="47"/>
                <c:pt idx="0">
                  <c:v>2.3811522560066321E-2</c:v>
                </c:pt>
                <c:pt idx="1">
                  <c:v>2.3811522560066321E-2</c:v>
                </c:pt>
                <c:pt idx="2">
                  <c:v>4.7623045120132643E-2</c:v>
                </c:pt>
                <c:pt idx="3">
                  <c:v>5.9528806400165807E-2</c:v>
                </c:pt>
                <c:pt idx="4">
                  <c:v>9.5246090240265285E-2</c:v>
                </c:pt>
                <c:pt idx="5">
                  <c:v>0.14286913536039794</c:v>
                </c:pt>
                <c:pt idx="6">
                  <c:v>0.19049218048053057</c:v>
                </c:pt>
                <c:pt idx="7">
                  <c:v>0.22620946432063008</c:v>
                </c:pt>
                <c:pt idx="8">
                  <c:v>0.30954979328086218</c:v>
                </c:pt>
                <c:pt idx="9">
                  <c:v>0.4047958835211275</c:v>
                </c:pt>
                <c:pt idx="10">
                  <c:v>0.51194773504142599</c:v>
                </c:pt>
                <c:pt idx="11">
                  <c:v>0.64291110912179072</c:v>
                </c:pt>
                <c:pt idx="12">
                  <c:v>0.78578024448218864</c:v>
                </c:pt>
                <c:pt idx="13">
                  <c:v>0.91674361856255349</c:v>
                </c:pt>
                <c:pt idx="14">
                  <c:v>1.0953300377630508</c:v>
                </c:pt>
                <c:pt idx="15">
                  <c:v>1.2739164569635484</c:v>
                </c:pt>
                <c:pt idx="16">
                  <c:v>1.4763143987241121</c:v>
                </c:pt>
                <c:pt idx="17">
                  <c:v>1.7263353856048085</c:v>
                </c:pt>
                <c:pt idx="18">
                  <c:v>2.3097176883264332</c:v>
                </c:pt>
                <c:pt idx="19">
                  <c:v>2.8216654233678593</c:v>
                </c:pt>
                <c:pt idx="20">
                  <c:v>3.4645765324896498</c:v>
                </c:pt>
                <c:pt idx="21">
                  <c:v>4.214639493131739</c:v>
                </c:pt>
                <c:pt idx="22">
                  <c:v>5.1075715891342259</c:v>
                </c:pt>
                <c:pt idx="23">
                  <c:v>6.1195612979370448</c:v>
                </c:pt>
                <c:pt idx="24">
                  <c:v>7.2744201421002614</c:v>
                </c:pt>
                <c:pt idx="25">
                  <c:v>8.6197711667440089</c:v>
                </c:pt>
                <c:pt idx="26">
                  <c:v>10.155614371868287</c:v>
                </c:pt>
                <c:pt idx="27">
                  <c:v>11.762892144672763</c:v>
                </c:pt>
                <c:pt idx="28">
                  <c:v>13.513039052837637</c:v>
                </c:pt>
                <c:pt idx="29">
                  <c:v>15.28699748356258</c:v>
                </c:pt>
                <c:pt idx="30">
                  <c:v>17.060955914287522</c:v>
                </c:pt>
                <c:pt idx="31">
                  <c:v>18.525364551731599</c:v>
                </c:pt>
                <c:pt idx="32">
                  <c:v>20.061207756855875</c:v>
                </c:pt>
                <c:pt idx="33">
                  <c:v>21.573239439420089</c:v>
                </c:pt>
                <c:pt idx="34">
                  <c:v>23.025742315584136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A20-4062-AA41-DF6A15BD611C}"/>
            </c:ext>
          </c:extLst>
        </c:ser>
        <c:ser>
          <c:idx val="7"/>
          <c:order val="7"/>
          <c:tx>
            <c:strRef>
              <c:f>'Deaths Days + Pop'!$A$9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Pop'!$B$1:$BL$1</c15:sqref>
                  </c15:fullRef>
                </c:ext>
              </c:extLst>
              <c:f>('Deaths Days + Pop'!$B$1:$AT$1,'Deaths Days + Pop'!$BK$1:$BL$1)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Pop'!$B$9:$BL$9</c15:sqref>
                  </c15:fullRef>
                </c:ext>
              </c:extLst>
              <c:f>('Deaths Days + Pop'!$B$9:$AT$9,'Deaths Days + Pop'!$BK$9:$BL$9)</c:f>
              <c:numCache>
                <c:formatCode>General</c:formatCode>
                <c:ptCount val="47"/>
                <c:pt idx="0">
                  <c:v>1.653936154690399E-2</c:v>
                </c:pt>
                <c:pt idx="1">
                  <c:v>3.307872309380798E-2</c:v>
                </c:pt>
                <c:pt idx="2">
                  <c:v>4.9618084640711976E-2</c:v>
                </c:pt>
                <c:pt idx="3">
                  <c:v>0.11577553082832794</c:v>
                </c:pt>
                <c:pt idx="4">
                  <c:v>0.16539361546903991</c:v>
                </c:pt>
                <c:pt idx="5">
                  <c:v>0.19847233856284791</c:v>
                </c:pt>
                <c:pt idx="6">
                  <c:v>0.28116914629736783</c:v>
                </c:pt>
                <c:pt idx="7">
                  <c:v>0.34732659248498382</c:v>
                </c:pt>
                <c:pt idx="8">
                  <c:v>0.47964148486021574</c:v>
                </c:pt>
                <c:pt idx="9">
                  <c:v>0.56233829259473567</c:v>
                </c:pt>
                <c:pt idx="10">
                  <c:v>0.8600468004390075</c:v>
                </c:pt>
                <c:pt idx="11">
                  <c:v>1.3066095622054152</c:v>
                </c:pt>
                <c:pt idx="12">
                  <c:v>1.7697116855187272</c:v>
                </c:pt>
                <c:pt idx="13">
                  <c:v>2.4478255089417909</c:v>
                </c:pt>
                <c:pt idx="14">
                  <c:v>3.2582542247400865</c:v>
                </c:pt>
                <c:pt idx="15">
                  <c:v>3.8536712404286302</c:v>
                </c:pt>
                <c:pt idx="16">
                  <c:v>6.0534063261668605</c:v>
                </c:pt>
                <c:pt idx="17">
                  <c:v>7.6577243962165484</c:v>
                </c:pt>
                <c:pt idx="18">
                  <c:v>10.436337136096419</c:v>
                </c:pt>
                <c:pt idx="19">
                  <c:v>13.6780519992896</c:v>
                </c:pt>
                <c:pt idx="20">
                  <c:v>13.6780519992896</c:v>
                </c:pt>
                <c:pt idx="21">
                  <c:v>20.938831718380452</c:v>
                </c:pt>
                <c:pt idx="22">
                  <c:v>23.833219989088651</c:v>
                </c:pt>
                <c:pt idx="23">
                  <c:v>29.919705038349321</c:v>
                </c:pt>
                <c:pt idx="24">
                  <c:v>35.691942218218813</c:v>
                </c:pt>
                <c:pt idx="25">
                  <c:v>41.398021951900688</c:v>
                </c:pt>
                <c:pt idx="26">
                  <c:v>49.254218686680083</c:v>
                </c:pt>
                <c:pt idx="27">
                  <c:v>56.316526067208088</c:v>
                </c:pt>
                <c:pt idx="28">
                  <c:v>66.686705757116897</c:v>
                </c:pt>
                <c:pt idx="29">
                  <c:v>79.802419463811759</c:v>
                </c:pt>
                <c:pt idx="30">
                  <c:v>90.569543830846257</c:v>
                </c:pt>
                <c:pt idx="31">
                  <c:v>100.50970012053556</c:v>
                </c:pt>
                <c:pt idx="32">
                  <c:v>112.79844574988522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A20-4062-AA41-DF6A15BD611C}"/>
            </c:ext>
          </c:extLst>
        </c:ser>
        <c:ser>
          <c:idx val="8"/>
          <c:order val="8"/>
          <c:tx>
            <c:strRef>
              <c:f>'Deaths Days + Pop'!$A$10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Pop'!$B$1:$BL$1</c15:sqref>
                  </c15:fullRef>
                </c:ext>
              </c:extLst>
              <c:f>('Deaths Days + Pop'!$B$1:$AT$1,'Deaths Days + Pop'!$BK$1:$BL$1)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Pop'!$B$10:$BL$10</c15:sqref>
                  </c15:fullRef>
                </c:ext>
              </c:extLst>
              <c:f>('Deaths Days + Pop'!$B$10:$AT$10,'Deaths Days + Pop'!$BK$10:$BL$10)</c:f>
              <c:numCache>
                <c:formatCode>General</c:formatCode>
                <c:ptCount val="47"/>
                <c:pt idx="0">
                  <c:v>7.9066095943339208E-3</c:v>
                </c:pt>
                <c:pt idx="1">
                  <c:v>7.9066095943339208E-3</c:v>
                </c:pt>
                <c:pt idx="2">
                  <c:v>7.9066095943339208E-3</c:v>
                </c:pt>
                <c:pt idx="3">
                  <c:v>7.9066095943339208E-3</c:v>
                </c:pt>
                <c:pt idx="4">
                  <c:v>7.9066095943339208E-3</c:v>
                </c:pt>
                <c:pt idx="5">
                  <c:v>7.9066095943339208E-3</c:v>
                </c:pt>
                <c:pt idx="6">
                  <c:v>7.9066095943339208E-3</c:v>
                </c:pt>
                <c:pt idx="7">
                  <c:v>7.9066095943339208E-3</c:v>
                </c:pt>
                <c:pt idx="8">
                  <c:v>7.9066095943339208E-3</c:v>
                </c:pt>
                <c:pt idx="9">
                  <c:v>7.9066095943339208E-3</c:v>
                </c:pt>
                <c:pt idx="10">
                  <c:v>7.9066095943339208E-3</c:v>
                </c:pt>
                <c:pt idx="11">
                  <c:v>7.9066095943339208E-3</c:v>
                </c:pt>
                <c:pt idx="12">
                  <c:v>7.9066095943339208E-3</c:v>
                </c:pt>
                <c:pt idx="13">
                  <c:v>1.5813219188667842E-2</c:v>
                </c:pt>
                <c:pt idx="14">
                  <c:v>3.1626438377335683E-2</c:v>
                </c:pt>
                <c:pt idx="15">
                  <c:v>3.1626438377335683E-2</c:v>
                </c:pt>
                <c:pt idx="16">
                  <c:v>3.9533047971669608E-2</c:v>
                </c:pt>
                <c:pt idx="17">
                  <c:v>4.7439657566003525E-2</c:v>
                </c:pt>
                <c:pt idx="18">
                  <c:v>4.7439657566003525E-2</c:v>
                </c:pt>
                <c:pt idx="19">
                  <c:v>4.7439657566003525E-2</c:v>
                </c:pt>
                <c:pt idx="20">
                  <c:v>4.7439657566003525E-2</c:v>
                </c:pt>
                <c:pt idx="21">
                  <c:v>4.7439657566003525E-2</c:v>
                </c:pt>
                <c:pt idx="22">
                  <c:v>4.7439657566003525E-2</c:v>
                </c:pt>
                <c:pt idx="23">
                  <c:v>4.7439657566003525E-2</c:v>
                </c:pt>
                <c:pt idx="24">
                  <c:v>4.7439657566003525E-2</c:v>
                </c:pt>
                <c:pt idx="25">
                  <c:v>7.9066095943339215E-2</c:v>
                </c:pt>
                <c:pt idx="26">
                  <c:v>7.9066095943339215E-2</c:v>
                </c:pt>
                <c:pt idx="27">
                  <c:v>0.11859914391500882</c:v>
                </c:pt>
                <c:pt idx="28">
                  <c:v>0.12650575350934273</c:v>
                </c:pt>
                <c:pt idx="29">
                  <c:v>0.15022558229234451</c:v>
                </c:pt>
                <c:pt idx="30">
                  <c:v>0.17394541107534625</c:v>
                </c:pt>
                <c:pt idx="31">
                  <c:v>0.17394541107534625</c:v>
                </c:pt>
                <c:pt idx="32">
                  <c:v>0.21347845904701587</c:v>
                </c:pt>
                <c:pt idx="33">
                  <c:v>0.22929167823568372</c:v>
                </c:pt>
                <c:pt idx="34">
                  <c:v>0.22929167823568372</c:v>
                </c:pt>
                <c:pt idx="35">
                  <c:v>0.22929167823568372</c:v>
                </c:pt>
                <c:pt idx="36">
                  <c:v>0.26091811661301939</c:v>
                </c:pt>
                <c:pt idx="37">
                  <c:v>0.27673133580168724</c:v>
                </c:pt>
                <c:pt idx="38">
                  <c:v>0.32417099336769079</c:v>
                </c:pt>
                <c:pt idx="39">
                  <c:v>0.33207760296202471</c:v>
                </c:pt>
                <c:pt idx="40">
                  <c:v>0.33998421255635863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A20-4062-AA41-DF6A15BD611C}"/>
            </c:ext>
          </c:extLst>
        </c:ser>
        <c:ser>
          <c:idx val="9"/>
          <c:order val="9"/>
          <c:tx>
            <c:strRef>
              <c:f>'Deaths Days + Pop'!$A$11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Pop'!$B$1:$BL$1</c15:sqref>
                  </c15:fullRef>
                </c:ext>
              </c:extLst>
              <c:f>('Deaths Days + Pop'!$B$1:$AT$1,'Deaths Days + Pop'!$BK$1:$BL$1)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Pop'!$B$11:$BL$11</c15:sqref>
                  </c15:fullRef>
                </c:ext>
              </c:extLst>
              <c:f>('Deaths Days + Pop'!$B$11:$AT$11,'Deaths Days + Pop'!$BK$11:$BL$11)</c:f>
              <c:numCache>
                <c:formatCode>General</c:formatCode>
                <c:ptCount val="47"/>
                <c:pt idx="0">
                  <c:v>1.9504893631525449E-2</c:v>
                </c:pt>
                <c:pt idx="1">
                  <c:v>3.9009787263050898E-2</c:v>
                </c:pt>
                <c:pt idx="2">
                  <c:v>3.9009787263050898E-2</c:v>
                </c:pt>
                <c:pt idx="3">
                  <c:v>0.11702936178915269</c:v>
                </c:pt>
                <c:pt idx="4">
                  <c:v>0.15603914905220359</c:v>
                </c:pt>
                <c:pt idx="5">
                  <c:v>0.19504893631525447</c:v>
                </c:pt>
                <c:pt idx="6">
                  <c:v>0.23405872357830537</c:v>
                </c:pt>
                <c:pt idx="7">
                  <c:v>0.25356361720983084</c:v>
                </c:pt>
                <c:pt idx="8">
                  <c:v>0.25356361720983084</c:v>
                </c:pt>
                <c:pt idx="9">
                  <c:v>0.31207829810440718</c:v>
                </c:pt>
                <c:pt idx="10">
                  <c:v>0.33158319173593259</c:v>
                </c:pt>
                <c:pt idx="11">
                  <c:v>0.5461370216827125</c:v>
                </c:pt>
                <c:pt idx="12">
                  <c:v>0.5461370216827125</c:v>
                </c:pt>
                <c:pt idx="13">
                  <c:v>0.68267127710339071</c:v>
                </c:pt>
                <c:pt idx="14">
                  <c:v>0.68267127710339071</c:v>
                </c:pt>
                <c:pt idx="15">
                  <c:v>0.8192055325240688</c:v>
                </c:pt>
                <c:pt idx="16">
                  <c:v>0.85821531978711973</c:v>
                </c:pt>
                <c:pt idx="17">
                  <c:v>0.97524468157627242</c:v>
                </c:pt>
                <c:pt idx="18">
                  <c:v>1.0337593624708488</c:v>
                </c:pt>
                <c:pt idx="19">
                  <c:v>1.0532642561023742</c:v>
                </c:pt>
                <c:pt idx="20">
                  <c:v>1.1702936178915269</c:v>
                </c:pt>
                <c:pt idx="21">
                  <c:v>1.2873229796806795</c:v>
                </c:pt>
                <c:pt idx="22">
                  <c:v>1.2873229796806795</c:v>
                </c:pt>
                <c:pt idx="23">
                  <c:v>1.4043523414698322</c:v>
                </c:pt>
                <c:pt idx="24">
                  <c:v>1.4628670223644085</c:v>
                </c:pt>
                <c:pt idx="25">
                  <c:v>1.4628670223644085</c:v>
                </c:pt>
                <c:pt idx="26">
                  <c:v>1.5798963841535612</c:v>
                </c:pt>
                <c:pt idx="27">
                  <c:v>1.6384110650481376</c:v>
                </c:pt>
                <c:pt idx="28">
                  <c:v>1.7749453204688157</c:v>
                </c:pt>
                <c:pt idx="29">
                  <c:v>1.8334600013633922</c:v>
                </c:pt>
                <c:pt idx="30">
                  <c:v>1.9894991504155957</c:v>
                </c:pt>
                <c:pt idx="31">
                  <c:v>2.1650431930993248</c:v>
                </c:pt>
                <c:pt idx="32">
                  <c:v>2.1650431930993248</c:v>
                </c:pt>
                <c:pt idx="33">
                  <c:v>2.3405872357830537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A20-4062-AA41-DF6A15BD611C}"/>
            </c:ext>
          </c:extLst>
        </c:ser>
        <c:ser>
          <c:idx val="10"/>
          <c:order val="10"/>
          <c:tx>
            <c:strRef>
              <c:f>'Deaths Days + Pop'!$A$12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Pop'!$B$1:$BL$1</c15:sqref>
                  </c15:fullRef>
                </c:ext>
              </c:extLst>
              <c:f>('Deaths Days + Pop'!$B$1:$AT$1,'Deaths Days + Pop'!$BK$1:$BL$1)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Pop'!$B$12:$BL$12</c15:sqref>
                  </c15:fullRef>
                </c:ext>
              </c:extLst>
              <c:f>('Deaths Days + Pop'!$B$12:$AT$12,'Deaths Days + Pop'!$BK$12:$BL$12)</c:f>
              <c:numCache>
                <c:formatCode>General</c:formatCode>
                <c:ptCount val="47"/>
                <c:pt idx="0">
                  <c:v>1.4730575346369961E-2</c:v>
                </c:pt>
                <c:pt idx="1">
                  <c:v>2.9461150692739923E-2</c:v>
                </c:pt>
                <c:pt idx="2">
                  <c:v>2.9461150692739923E-2</c:v>
                </c:pt>
                <c:pt idx="3">
                  <c:v>4.419172603910989E-2</c:v>
                </c:pt>
                <c:pt idx="4">
                  <c:v>5.8922301385479846E-2</c:v>
                </c:pt>
                <c:pt idx="5">
                  <c:v>8.8383452078219779E-2</c:v>
                </c:pt>
                <c:pt idx="6">
                  <c:v>0.11784460277095969</c:v>
                </c:pt>
                <c:pt idx="7">
                  <c:v>0.11784460277095969</c:v>
                </c:pt>
                <c:pt idx="8">
                  <c:v>0.11784460277095969</c:v>
                </c:pt>
                <c:pt idx="9">
                  <c:v>0.30934208227376919</c:v>
                </c:pt>
                <c:pt idx="10">
                  <c:v>0.30934208227376919</c:v>
                </c:pt>
                <c:pt idx="11">
                  <c:v>0.82491221939671788</c:v>
                </c:pt>
                <c:pt idx="12">
                  <c:v>0.82491221939671788</c:v>
                </c:pt>
                <c:pt idx="13">
                  <c:v>1.0606014249386373</c:v>
                </c:pt>
                <c:pt idx="14">
                  <c:v>2.032819397799055</c:v>
                </c:pt>
                <c:pt idx="15">
                  <c:v>2.6220424116538532</c:v>
                </c:pt>
                <c:pt idx="16">
                  <c:v>3.4469546310505712</c:v>
                </c:pt>
                <c:pt idx="17">
                  <c:v>4.1540222476763295</c:v>
                </c:pt>
                <c:pt idx="18">
                  <c:v>4.9494733163803071</c:v>
                </c:pt>
                <c:pt idx="19">
                  <c:v>6.2310333715144939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A20-4062-AA41-DF6A15BD611C}"/>
            </c:ext>
          </c:extLst>
        </c:ser>
        <c:ser>
          <c:idx val="11"/>
          <c:order val="11"/>
          <c:tx>
            <c:strRef>
              <c:f>'Deaths Days + Pop'!$A$13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Pop'!$B$1:$BL$1</c15:sqref>
                  </c15:fullRef>
                </c:ext>
              </c:extLst>
              <c:f>('Deaths Days + Pop'!$B$1:$AT$1,'Deaths Days + Pop'!$BK$1:$BL$1)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Pop'!$B$13:$BL$13</c15:sqref>
                  </c15:fullRef>
                </c:ext>
              </c:extLst>
              <c:f>('Deaths Days + Pop'!$B$13:$AT$13,'Deaths Days + Pop'!$BK$13:$BL$13)</c:f>
              <c:numCache>
                <c:formatCode>General</c:formatCode>
                <c:ptCount val="47"/>
                <c:pt idx="0">
                  <c:v>3.0211238398812701E-3</c:v>
                </c:pt>
                <c:pt idx="1">
                  <c:v>3.0211238398812701E-3</c:v>
                </c:pt>
                <c:pt idx="2">
                  <c:v>1.8126743039287622E-2</c:v>
                </c:pt>
                <c:pt idx="3">
                  <c:v>2.1147866879168892E-2</c:v>
                </c:pt>
                <c:pt idx="4">
                  <c:v>3.3232362238693969E-2</c:v>
                </c:pt>
                <c:pt idx="5">
                  <c:v>3.6253486078575245E-2</c:v>
                </c:pt>
                <c:pt idx="6">
                  <c:v>4.2295733758337783E-2</c:v>
                </c:pt>
                <c:pt idx="7">
                  <c:v>5.1359105277981591E-2</c:v>
                </c:pt>
                <c:pt idx="8">
                  <c:v>6.3443600637506675E-2</c:v>
                </c:pt>
                <c:pt idx="9">
                  <c:v>6.6464724477387938E-2</c:v>
                </c:pt>
                <c:pt idx="10">
                  <c:v>8.4591467516675567E-2</c:v>
                </c:pt>
                <c:pt idx="11">
                  <c:v>0.10876045823572572</c:v>
                </c:pt>
                <c:pt idx="12">
                  <c:v>0.12084495359525081</c:v>
                </c:pt>
                <c:pt idx="13">
                  <c:v>0.14199282047441969</c:v>
                </c:pt>
                <c:pt idx="14">
                  <c:v>0.16314068735358858</c:v>
                </c:pt>
                <c:pt idx="15">
                  <c:v>0.19033080191252003</c:v>
                </c:pt>
                <c:pt idx="16">
                  <c:v>0.25679552638990799</c:v>
                </c:pt>
                <c:pt idx="17">
                  <c:v>0.32628137470717716</c:v>
                </c:pt>
                <c:pt idx="18">
                  <c:v>0.3564926131059899</c:v>
                </c:pt>
                <c:pt idx="19">
                  <c:v>0.60422476797625402</c:v>
                </c:pt>
                <c:pt idx="20">
                  <c:v>0.73715421693102989</c:v>
                </c:pt>
                <c:pt idx="21">
                  <c:v>0.92748501884354995</c:v>
                </c:pt>
                <c:pt idx="22">
                  <c:v>1.2598086412304896</c:v>
                </c:pt>
                <c:pt idx="23">
                  <c:v>1.6827659788138676</c:v>
                </c:pt>
                <c:pt idx="24">
                  <c:v>2.1329134309561768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22-4CEA-A755-486BA42F0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727839"/>
        <c:axId val="925828991"/>
      </c:lineChart>
      <c:catAx>
        <c:axId val="13072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 1 Death</a:t>
                </a:r>
              </a:p>
            </c:rich>
          </c:tx>
          <c:layout>
            <c:manualLayout>
              <c:xMode val="edge"/>
              <c:yMode val="edge"/>
              <c:x val="0.46431636973763901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828991"/>
        <c:crosses val="autoZero"/>
        <c:auto val="1"/>
        <c:lblAlgn val="ctr"/>
        <c:lblOffset val="100"/>
        <c:noMultiLvlLbl val="0"/>
      </c:catAx>
      <c:valAx>
        <c:axId val="9258289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 per  1,000,000 (1m) people</a:t>
                </a:r>
              </a:p>
            </c:rich>
          </c:tx>
          <c:layout>
            <c:manualLayout>
              <c:xMode val="edge"/>
              <c:yMode val="edge"/>
              <c:x val="0"/>
              <c:y val="0.361143015215661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278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2667432553070421E-2"/>
          <c:y val="6.2785387187265741E-3"/>
          <c:w val="0.95739839379072444"/>
          <c:h val="3.5317027479400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76289931830116E-2"/>
          <c:y val="6.2977740725604567E-2"/>
          <c:w val="0.93020661920667114"/>
          <c:h val="0.86934086348964978"/>
        </c:manualLayout>
      </c:layout>
      <c:lineChart>
        <c:grouping val="standard"/>
        <c:varyColors val="0"/>
        <c:ser>
          <c:idx val="0"/>
          <c:order val="0"/>
          <c:tx>
            <c:strRef>
              <c:f>'Deaths Days Since'!$A$2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Since'!$B$1:$BL$1</c15:sqref>
                  </c15:fullRef>
                </c:ext>
              </c:extLst>
              <c:f>('Deaths Days Since'!$B$1:$AT$1,'Deaths Days Since'!$BK$1:$BL$1)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Since'!$B$2:$BL$2</c15:sqref>
                  </c15:fullRef>
                </c:ext>
              </c:extLst>
              <c:f>('Deaths Days Since'!$B$2:$AT$2,'Deaths Days Since'!$BK$2:$BL$2)</c:f>
              <c:numCache>
                <c:formatCode>General</c:formatCode>
                <c:ptCount val="4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74-45F0-AD56-80A15020B760}"/>
            </c:ext>
          </c:extLst>
        </c:ser>
        <c:ser>
          <c:idx val="1"/>
          <c:order val="1"/>
          <c:tx>
            <c:strRef>
              <c:f>'Deaths Days Since'!$A$3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Since'!$B$1:$BL$1</c15:sqref>
                  </c15:fullRef>
                </c:ext>
              </c:extLst>
              <c:f>('Deaths Days Since'!$B$1:$AT$1,'Deaths Days Since'!$BK$1:$BL$1)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Since'!$B$3:$BL$3</c15:sqref>
                  </c15:fullRef>
                </c:ext>
              </c:extLst>
              <c:f>('Deaths Days Since'!$B$3:$AT$3,'Deaths Days Since'!$BK$3:$BL$3)</c:f>
              <c:numCache>
                <c:formatCode>General</c:formatCode>
                <c:ptCount val="4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5</c:v>
                </c:pt>
                <c:pt idx="9">
                  <c:v>8</c:v>
                </c:pt>
                <c:pt idx="10">
                  <c:v>9</c:v>
                </c:pt>
                <c:pt idx="11">
                  <c:v>12</c:v>
                </c:pt>
                <c:pt idx="12">
                  <c:v>19</c:v>
                </c:pt>
                <c:pt idx="13">
                  <c:v>21</c:v>
                </c:pt>
                <c:pt idx="14">
                  <c:v>25</c:v>
                </c:pt>
                <c:pt idx="15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74-45F0-AD56-80A15020B760}"/>
            </c:ext>
          </c:extLst>
        </c:ser>
        <c:ser>
          <c:idx val="2"/>
          <c:order val="2"/>
          <c:tx>
            <c:strRef>
              <c:f>'Deaths Days Since'!$A$4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Since'!$B$1:$BL$1</c15:sqref>
                  </c15:fullRef>
                </c:ext>
              </c:extLst>
              <c:f>('Deaths Days Since'!$B$1:$AT$1,'Deaths Days Since'!$BK$1:$BL$1)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Since'!$B$4:$BL$4</c15:sqref>
                  </c15:fullRef>
                </c:ext>
              </c:extLst>
              <c:f>('Deaths Days Since'!$B$4:$AT$4,'Deaths Days Since'!$BK$4:$BL$4)</c:f>
              <c:numCache>
                <c:formatCode>General</c:formatCode>
                <c:ptCount val="47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3274</c:v>
                </c:pt>
                <c:pt idx="46">
                  <c:v>3281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74-45F0-AD56-80A15020B760}"/>
            </c:ext>
          </c:extLst>
        </c:ser>
        <c:ser>
          <c:idx val="3"/>
          <c:order val="3"/>
          <c:tx>
            <c:strRef>
              <c:f>'Deaths Days Since'!$A$5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Since'!$B$1:$BL$1</c15:sqref>
                  </c15:fullRef>
                </c:ext>
              </c:extLst>
              <c:f>('Deaths Days Since'!$B$1:$AT$1,'Deaths Days Since'!$BK$1:$BL$1)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Since'!$B$5:$BL$5</c15:sqref>
                  </c15:fullRef>
                </c:ext>
              </c:extLst>
              <c:f>('Deaths Days Since'!$B$5:$AT$5,'Deaths Days Since'!$BK$5:$BL$5)</c:f>
              <c:numCache>
                <c:formatCode>General</c:formatCod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9</c:v>
                </c:pt>
                <c:pt idx="7">
                  <c:v>13</c:v>
                </c:pt>
                <c:pt idx="8">
                  <c:v>13</c:v>
                </c:pt>
                <c:pt idx="9">
                  <c:v>24</c:v>
                </c:pt>
                <c:pt idx="1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74-45F0-AD56-80A15020B760}"/>
            </c:ext>
          </c:extLst>
        </c:ser>
        <c:ser>
          <c:idx val="4"/>
          <c:order val="4"/>
          <c:tx>
            <c:strRef>
              <c:f>'Deaths Days Since'!$A$6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Since'!$B$1:$BL$1</c15:sqref>
                  </c15:fullRef>
                </c:ext>
              </c:extLst>
              <c:f>('Deaths Days Since'!$B$1:$AT$1,'Deaths Days Since'!$BK$1:$BL$1)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Since'!$B$6:$BL$6</c15:sqref>
                  </c15:fullRef>
                </c:ext>
              </c:extLst>
              <c:f>('Deaths Days Since'!$B$6:$AT$6,'Deaths Days Since'!$BK$6:$BL$6)</c:f>
              <c:numCache>
                <c:formatCode>General</c:formatCode>
                <c:ptCount val="4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4</c:v>
                </c:pt>
                <c:pt idx="19">
                  <c:v>6</c:v>
                </c:pt>
                <c:pt idx="20">
                  <c:v>9</c:v>
                </c:pt>
                <c:pt idx="21">
                  <c:v>11</c:v>
                </c:pt>
                <c:pt idx="22">
                  <c:v>19</c:v>
                </c:pt>
                <c:pt idx="23">
                  <c:v>19</c:v>
                </c:pt>
                <c:pt idx="24">
                  <c:v>33</c:v>
                </c:pt>
                <c:pt idx="25">
                  <c:v>48</c:v>
                </c:pt>
                <c:pt idx="26">
                  <c:v>48</c:v>
                </c:pt>
                <c:pt idx="27">
                  <c:v>79</c:v>
                </c:pt>
                <c:pt idx="28">
                  <c:v>91</c:v>
                </c:pt>
                <c:pt idx="29">
                  <c:v>91</c:v>
                </c:pt>
                <c:pt idx="30">
                  <c:v>149</c:v>
                </c:pt>
                <c:pt idx="31">
                  <c:v>149</c:v>
                </c:pt>
                <c:pt idx="32">
                  <c:v>149</c:v>
                </c:pt>
                <c:pt idx="33">
                  <c:v>244</c:v>
                </c:pt>
                <c:pt idx="34">
                  <c:v>451</c:v>
                </c:pt>
                <c:pt idx="35">
                  <c:v>563</c:v>
                </c:pt>
                <c:pt idx="36">
                  <c:v>676</c:v>
                </c:pt>
                <c:pt idx="37">
                  <c:v>862</c:v>
                </c:pt>
                <c:pt idx="38">
                  <c:v>1102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74-45F0-AD56-80A15020B760}"/>
            </c:ext>
          </c:extLst>
        </c:ser>
        <c:ser>
          <c:idx val="5"/>
          <c:order val="5"/>
          <c:tx>
            <c:strRef>
              <c:f>'Deaths Days Since'!$A$7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Since'!$B$1:$BL$1</c15:sqref>
                  </c15:fullRef>
                </c:ext>
              </c:extLst>
              <c:f>('Deaths Days Since'!$B$1:$AT$1,'Deaths Days Since'!$BK$1:$BL$1)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Since'!$B$7:$BL$7</c15:sqref>
                  </c15:fullRef>
                </c:ext>
              </c:extLst>
              <c:f>('Deaths Days Since'!$B$7:$AT$7,'Deaths Days Since'!$BK$7:$BL$7)</c:f>
              <c:numCache>
                <c:formatCode>General</c:formatCode>
                <c:ptCount val="47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7</c:v>
                </c:pt>
                <c:pt idx="5">
                  <c:v>9</c:v>
                </c:pt>
                <c:pt idx="6">
                  <c:v>11</c:v>
                </c:pt>
                <c:pt idx="7">
                  <c:v>17</c:v>
                </c:pt>
                <c:pt idx="8">
                  <c:v>24</c:v>
                </c:pt>
                <c:pt idx="9">
                  <c:v>28</c:v>
                </c:pt>
                <c:pt idx="10">
                  <c:v>44</c:v>
                </c:pt>
                <c:pt idx="11">
                  <c:v>67</c:v>
                </c:pt>
                <c:pt idx="12">
                  <c:v>84</c:v>
                </c:pt>
                <c:pt idx="13">
                  <c:v>94</c:v>
                </c:pt>
                <c:pt idx="14">
                  <c:v>123</c:v>
                </c:pt>
                <c:pt idx="15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74-45F0-AD56-80A15020B760}"/>
            </c:ext>
          </c:extLst>
        </c:ser>
        <c:ser>
          <c:idx val="6"/>
          <c:order val="6"/>
          <c:tx>
            <c:strRef>
              <c:f>'Deaths Days Since'!$A$8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Since'!$B$1:$BL$1</c15:sqref>
                  </c15:fullRef>
                </c:ext>
              </c:extLst>
              <c:f>('Deaths Days Since'!$B$1:$AT$1,'Deaths Days Since'!$BK$1:$BL$1)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Since'!$B$8:$BL$8</c15:sqref>
                  </c15:fullRef>
                </c:ext>
              </c:extLst>
              <c:f>('Deaths Days Since'!$B$8:$AT$8,'Deaths Days Since'!$BK$8:$BL$8)</c:f>
              <c:numCache>
                <c:formatCode>General</c:formatCode>
                <c:ptCount val="47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  <c:pt idx="7">
                  <c:v>19</c:v>
                </c:pt>
                <c:pt idx="8">
                  <c:v>26</c:v>
                </c:pt>
                <c:pt idx="9">
                  <c:v>34</c:v>
                </c:pt>
                <c:pt idx="10">
                  <c:v>43</c:v>
                </c:pt>
                <c:pt idx="11">
                  <c:v>54</c:v>
                </c:pt>
                <c:pt idx="12">
                  <c:v>66</c:v>
                </c:pt>
                <c:pt idx="13">
                  <c:v>77</c:v>
                </c:pt>
                <c:pt idx="14">
                  <c:v>92</c:v>
                </c:pt>
                <c:pt idx="15">
                  <c:v>107</c:v>
                </c:pt>
                <c:pt idx="16">
                  <c:v>124</c:v>
                </c:pt>
                <c:pt idx="17">
                  <c:v>145</c:v>
                </c:pt>
                <c:pt idx="18">
                  <c:v>194</c:v>
                </c:pt>
                <c:pt idx="19">
                  <c:v>237</c:v>
                </c:pt>
                <c:pt idx="20">
                  <c:v>291</c:v>
                </c:pt>
                <c:pt idx="21">
                  <c:v>354</c:v>
                </c:pt>
                <c:pt idx="22">
                  <c:v>429</c:v>
                </c:pt>
                <c:pt idx="23">
                  <c:v>514</c:v>
                </c:pt>
                <c:pt idx="24">
                  <c:v>611</c:v>
                </c:pt>
                <c:pt idx="25">
                  <c:v>724</c:v>
                </c:pt>
                <c:pt idx="26">
                  <c:v>853</c:v>
                </c:pt>
                <c:pt idx="27">
                  <c:v>988</c:v>
                </c:pt>
                <c:pt idx="28">
                  <c:v>1135</c:v>
                </c:pt>
                <c:pt idx="29">
                  <c:v>1284</c:v>
                </c:pt>
                <c:pt idx="30">
                  <c:v>1433</c:v>
                </c:pt>
                <c:pt idx="31">
                  <c:v>1556</c:v>
                </c:pt>
                <c:pt idx="32">
                  <c:v>1685</c:v>
                </c:pt>
                <c:pt idx="33">
                  <c:v>1812</c:v>
                </c:pt>
                <c:pt idx="34">
                  <c:v>1934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474-45F0-AD56-80A15020B760}"/>
            </c:ext>
          </c:extLst>
        </c:ser>
        <c:ser>
          <c:idx val="7"/>
          <c:order val="7"/>
          <c:tx>
            <c:strRef>
              <c:f>'Deaths Days Since'!$A$9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Since'!$B$1:$BL$1</c15:sqref>
                  </c15:fullRef>
                </c:ext>
              </c:extLst>
              <c:f>('Deaths Days Since'!$B$1:$AT$1,'Deaths Days Since'!$BK$1:$BL$1)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Since'!$B$9:$BL$9</c15:sqref>
                  </c15:fullRef>
                </c:ext>
              </c:extLst>
              <c:f>('Deaths Days Since'!$B$9:$AT$9,'Deaths Days Since'!$BK$9:$BL$9)</c:f>
              <c:numCache>
                <c:formatCode>General</c:formatCod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17</c:v>
                </c:pt>
                <c:pt idx="7">
                  <c:v>21</c:v>
                </c:pt>
                <c:pt idx="8">
                  <c:v>29</c:v>
                </c:pt>
                <c:pt idx="9">
                  <c:v>34</c:v>
                </c:pt>
                <c:pt idx="10">
                  <c:v>52</c:v>
                </c:pt>
                <c:pt idx="11">
                  <c:v>79</c:v>
                </c:pt>
                <c:pt idx="12">
                  <c:v>107</c:v>
                </c:pt>
                <c:pt idx="13">
                  <c:v>148</c:v>
                </c:pt>
                <c:pt idx="14">
                  <c:v>197</c:v>
                </c:pt>
                <c:pt idx="15">
                  <c:v>233</c:v>
                </c:pt>
                <c:pt idx="16">
                  <c:v>366</c:v>
                </c:pt>
                <c:pt idx="17">
                  <c:v>463</c:v>
                </c:pt>
                <c:pt idx="18">
                  <c:v>631</c:v>
                </c:pt>
                <c:pt idx="19">
                  <c:v>827</c:v>
                </c:pt>
                <c:pt idx="20">
                  <c:v>827</c:v>
                </c:pt>
                <c:pt idx="21">
                  <c:v>1266</c:v>
                </c:pt>
                <c:pt idx="22">
                  <c:v>1441</c:v>
                </c:pt>
                <c:pt idx="23">
                  <c:v>1809</c:v>
                </c:pt>
                <c:pt idx="24">
                  <c:v>2158</c:v>
                </c:pt>
                <c:pt idx="25">
                  <c:v>2503</c:v>
                </c:pt>
                <c:pt idx="26">
                  <c:v>2978</c:v>
                </c:pt>
                <c:pt idx="27">
                  <c:v>3405</c:v>
                </c:pt>
                <c:pt idx="28">
                  <c:v>4032</c:v>
                </c:pt>
                <c:pt idx="29">
                  <c:v>4825</c:v>
                </c:pt>
                <c:pt idx="30">
                  <c:v>5476</c:v>
                </c:pt>
                <c:pt idx="31">
                  <c:v>6077</c:v>
                </c:pt>
                <c:pt idx="32">
                  <c:v>6820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74-45F0-AD56-80A15020B760}"/>
            </c:ext>
          </c:extLst>
        </c:ser>
        <c:ser>
          <c:idx val="8"/>
          <c:order val="8"/>
          <c:tx>
            <c:strRef>
              <c:f>'Deaths Days Since'!$A$10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Since'!$B$1:$BL$1</c15:sqref>
                  </c15:fullRef>
                </c:ext>
              </c:extLst>
              <c:f>('Deaths Days Since'!$B$1:$AT$1,'Deaths Days Since'!$BK$1:$BL$1)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Since'!$B$10:$BL$10</c15:sqref>
                  </c15:fullRef>
                </c:ext>
              </c:extLst>
              <c:f>('Deaths Days Since'!$B$10:$AT$10,'Deaths Days Since'!$BK$10:$BL$10)</c:f>
              <c:numCache>
                <c:formatCode>General</c:formatCode>
                <c:ptCount val="4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10</c:v>
                </c:pt>
                <c:pt idx="26">
                  <c:v>10</c:v>
                </c:pt>
                <c:pt idx="27">
                  <c:v>15</c:v>
                </c:pt>
                <c:pt idx="28">
                  <c:v>16</c:v>
                </c:pt>
                <c:pt idx="29">
                  <c:v>19</c:v>
                </c:pt>
                <c:pt idx="30">
                  <c:v>22</c:v>
                </c:pt>
                <c:pt idx="31">
                  <c:v>22</c:v>
                </c:pt>
                <c:pt idx="32">
                  <c:v>27</c:v>
                </c:pt>
                <c:pt idx="33">
                  <c:v>29</c:v>
                </c:pt>
                <c:pt idx="34">
                  <c:v>29</c:v>
                </c:pt>
                <c:pt idx="35">
                  <c:v>29</c:v>
                </c:pt>
                <c:pt idx="36">
                  <c:v>33</c:v>
                </c:pt>
                <c:pt idx="37">
                  <c:v>35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474-45F0-AD56-80A15020B760}"/>
            </c:ext>
          </c:extLst>
        </c:ser>
        <c:ser>
          <c:idx val="9"/>
          <c:order val="9"/>
          <c:tx>
            <c:strRef>
              <c:f>'Deaths Days Since'!$A$11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Since'!$B$1:$BL$1</c15:sqref>
                  </c15:fullRef>
                </c:ext>
              </c:extLst>
              <c:f>('Deaths Days Since'!$B$1:$AT$1,'Deaths Days Since'!$BK$1:$BL$1)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Since'!$B$11:$BL$11</c15:sqref>
                  </c15:fullRef>
                </c:ext>
              </c:extLst>
              <c:f>('Deaths Days Since'!$B$11:$AT$11,'Deaths Days Since'!$BK$11:$BL$11)</c:f>
              <c:numCache>
                <c:formatCode>General</c:formatCode>
                <c:ptCount val="4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13</c:v>
                </c:pt>
                <c:pt idx="8">
                  <c:v>13</c:v>
                </c:pt>
                <c:pt idx="9">
                  <c:v>16</c:v>
                </c:pt>
                <c:pt idx="10">
                  <c:v>17</c:v>
                </c:pt>
                <c:pt idx="11">
                  <c:v>28</c:v>
                </c:pt>
                <c:pt idx="12">
                  <c:v>28</c:v>
                </c:pt>
                <c:pt idx="13">
                  <c:v>35</c:v>
                </c:pt>
                <c:pt idx="14">
                  <c:v>35</c:v>
                </c:pt>
                <c:pt idx="15">
                  <c:v>42</c:v>
                </c:pt>
                <c:pt idx="16">
                  <c:v>44</c:v>
                </c:pt>
                <c:pt idx="17">
                  <c:v>50</c:v>
                </c:pt>
                <c:pt idx="18">
                  <c:v>53</c:v>
                </c:pt>
                <c:pt idx="19">
                  <c:v>54</c:v>
                </c:pt>
                <c:pt idx="20">
                  <c:v>60</c:v>
                </c:pt>
                <c:pt idx="21">
                  <c:v>66</c:v>
                </c:pt>
                <c:pt idx="22">
                  <c:v>66</c:v>
                </c:pt>
                <c:pt idx="23">
                  <c:v>72</c:v>
                </c:pt>
                <c:pt idx="24">
                  <c:v>75</c:v>
                </c:pt>
                <c:pt idx="25">
                  <c:v>75</c:v>
                </c:pt>
                <c:pt idx="26">
                  <c:v>81</c:v>
                </c:pt>
                <c:pt idx="27">
                  <c:v>84</c:v>
                </c:pt>
                <c:pt idx="28">
                  <c:v>91</c:v>
                </c:pt>
                <c:pt idx="29">
                  <c:v>94</c:v>
                </c:pt>
                <c:pt idx="30">
                  <c:v>102</c:v>
                </c:pt>
                <c:pt idx="31">
                  <c:v>111</c:v>
                </c:pt>
                <c:pt idx="32">
                  <c:v>111</c:v>
                </c:pt>
                <c:pt idx="33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474-45F0-AD56-80A15020B760}"/>
            </c:ext>
          </c:extLst>
        </c:ser>
        <c:ser>
          <c:idx val="10"/>
          <c:order val="10"/>
          <c:tx>
            <c:strRef>
              <c:f>'Deaths Days Since'!$A$12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Since'!$B$1:$BL$1</c15:sqref>
                  </c15:fullRef>
                </c:ext>
              </c:extLst>
              <c:f>('Deaths Days Since'!$B$1:$AT$1,'Deaths Days Since'!$BK$1:$BL$1)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Since'!$B$12:$BL$12</c15:sqref>
                  </c15:fullRef>
                </c:ext>
              </c:extLst>
              <c:f>('Deaths Days Since'!$B$12:$AT$12,'Deaths Days Since'!$BK$12:$BL$12)</c:f>
              <c:numCache>
                <c:formatCode>General</c:formatCode>
                <c:ptCount val="4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21</c:v>
                </c:pt>
                <c:pt idx="10">
                  <c:v>21</c:v>
                </c:pt>
                <c:pt idx="11">
                  <c:v>56</c:v>
                </c:pt>
                <c:pt idx="12">
                  <c:v>56</c:v>
                </c:pt>
                <c:pt idx="13">
                  <c:v>72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474-45F0-AD56-80A15020B760}"/>
            </c:ext>
          </c:extLst>
        </c:ser>
        <c:ser>
          <c:idx val="11"/>
          <c:order val="11"/>
          <c:tx>
            <c:strRef>
              <c:f>'Deaths Days Since'!$A$13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Since'!$B$1:$BL$1</c15:sqref>
                  </c15:fullRef>
                </c:ext>
              </c:extLst>
              <c:f>('Deaths Days Since'!$B$1:$AT$1,'Deaths Days Since'!$BK$1:$BL$1)</c:f>
              <c:strCach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62</c:v>
                </c:pt>
                <c:pt idx="46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Since'!$B$13:$BL$13</c15:sqref>
                  </c15:fullRef>
                </c:ext>
              </c:extLst>
              <c:f>('Deaths Days Since'!$B$13:$AT$13,'Deaths Days Since'!$BK$13:$BL$13)</c:f>
              <c:numCache>
                <c:formatCode>General</c:formatCode>
                <c:ptCount val="47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17</c:v>
                </c:pt>
                <c:pt idx="8">
                  <c:v>21</c:v>
                </c:pt>
                <c:pt idx="9">
                  <c:v>22</c:v>
                </c:pt>
                <c:pt idx="10">
                  <c:v>28</c:v>
                </c:pt>
                <c:pt idx="11">
                  <c:v>36</c:v>
                </c:pt>
                <c:pt idx="12">
                  <c:v>40</c:v>
                </c:pt>
                <c:pt idx="13">
                  <c:v>47</c:v>
                </c:pt>
                <c:pt idx="14">
                  <c:v>54</c:v>
                </c:pt>
                <c:pt idx="15">
                  <c:v>63</c:v>
                </c:pt>
                <c:pt idx="16">
                  <c:v>85</c:v>
                </c:pt>
                <c:pt idx="17">
                  <c:v>108</c:v>
                </c:pt>
                <c:pt idx="18">
                  <c:v>118</c:v>
                </c:pt>
                <c:pt idx="19">
                  <c:v>200</c:v>
                </c:pt>
                <c:pt idx="20">
                  <c:v>244</c:v>
                </c:pt>
                <c:pt idx="21">
                  <c:v>307</c:v>
                </c:pt>
                <c:pt idx="22">
                  <c:v>417</c:v>
                </c:pt>
                <c:pt idx="23">
                  <c:v>557</c:v>
                </c:pt>
                <c:pt idx="24">
                  <c:v>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34-4A2C-A093-6A402CF0F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5267472"/>
        <c:axId val="966154000"/>
      </c:lineChart>
      <c:catAx>
        <c:axId val="106526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 1</a:t>
                </a:r>
                <a:r>
                  <a:rPr lang="en-AU" baseline="0"/>
                  <a:t> Death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154000"/>
        <c:crosses val="autoZero"/>
        <c:auto val="1"/>
        <c:lblAlgn val="ctr"/>
        <c:lblOffset val="100"/>
        <c:noMultiLvlLbl val="0"/>
      </c:catAx>
      <c:valAx>
        <c:axId val="96615400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26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95251259709553E-2"/>
          <c:y val="7.3798850990640999E-2"/>
          <c:w val="0.92136946043067924"/>
          <c:h val="0.82935056358300741"/>
        </c:manualLayout>
      </c:layout>
      <c:lineChart>
        <c:grouping val="standard"/>
        <c:varyColors val="0"/>
        <c:ser>
          <c:idx val="0"/>
          <c:order val="0"/>
          <c:tx>
            <c:strRef>
              <c:f>'Deaths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Totals'!$B$2:$B$64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DF3-402A-9B50-D258F18B8DF7}"/>
            </c:ext>
          </c:extLst>
        </c:ser>
        <c:ser>
          <c:idx val="1"/>
          <c:order val="1"/>
          <c:tx>
            <c:strRef>
              <c:f>'Deaths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Totals'!$C$2:$C$64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4</c:v>
                </c:pt>
                <c:pt idx="55">
                  <c:v>5</c:v>
                </c:pt>
                <c:pt idx="56">
                  <c:v>8</c:v>
                </c:pt>
                <c:pt idx="57">
                  <c:v>9</c:v>
                </c:pt>
                <c:pt idx="58">
                  <c:v>12</c:v>
                </c:pt>
                <c:pt idx="59">
                  <c:v>19</c:v>
                </c:pt>
                <c:pt idx="60">
                  <c:v>21</c:v>
                </c:pt>
                <c:pt idx="61">
                  <c:v>25</c:v>
                </c:pt>
                <c:pt idx="62">
                  <c:v>26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DF3-402A-9B50-D258F18B8DF7}"/>
            </c:ext>
          </c:extLst>
        </c:ser>
        <c:ser>
          <c:idx val="2"/>
          <c:order val="2"/>
          <c:tx>
            <c:strRef>
              <c:f>'Deaths Country Totals'!$D$1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Totals'!$D$2:$D$64</c:f>
              <c:numCache>
                <c:formatCode>General</c:formatCode>
                <c:ptCount val="63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F3-402A-9B50-D258F18B8DF7}"/>
            </c:ext>
          </c:extLst>
        </c:ser>
        <c:ser>
          <c:idx val="3"/>
          <c:order val="3"/>
          <c:tx>
            <c:strRef>
              <c:f>'Deaths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Totals'!$E$2:$E$64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9</c:v>
                </c:pt>
                <c:pt idx="59">
                  <c:v>13</c:v>
                </c:pt>
                <c:pt idx="60">
                  <c:v>13</c:v>
                </c:pt>
                <c:pt idx="61">
                  <c:v>24</c:v>
                </c:pt>
                <c:pt idx="62">
                  <c:v>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F3-402A-9B50-D258F18B8DF7}"/>
            </c:ext>
          </c:extLst>
        </c:ser>
        <c:ser>
          <c:idx val="4"/>
          <c:order val="4"/>
          <c:tx>
            <c:strRef>
              <c:f>'Deaths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Totals'!$F$2:$F$64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149</c:v>
                </c:pt>
                <c:pt idx="55">
                  <c:v>149</c:v>
                </c:pt>
                <c:pt idx="56">
                  <c:v>149</c:v>
                </c:pt>
                <c:pt idx="57">
                  <c:v>244</c:v>
                </c:pt>
                <c:pt idx="58">
                  <c:v>451</c:v>
                </c:pt>
                <c:pt idx="59">
                  <c:v>563</c:v>
                </c:pt>
                <c:pt idx="60">
                  <c:v>676</c:v>
                </c:pt>
                <c:pt idx="61">
                  <c:v>862</c:v>
                </c:pt>
                <c:pt idx="62">
                  <c:v>1102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DF3-402A-9B50-D258F18B8DF7}"/>
            </c:ext>
          </c:extLst>
        </c:ser>
        <c:ser>
          <c:idx val="5"/>
          <c:order val="5"/>
          <c:tx>
            <c:strRef>
              <c:f>'Deaths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Totals'!$G$2:$G$64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DF3-402A-9B50-D258F18B8DF7}"/>
            </c:ext>
          </c:extLst>
        </c:ser>
        <c:ser>
          <c:idx val="6"/>
          <c:order val="6"/>
          <c:tx>
            <c:strRef>
              <c:f>'Deaths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Totals'!$H$2:$H$64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5</c:v>
                </c:pt>
                <c:pt idx="32">
                  <c:v>8</c:v>
                </c:pt>
                <c:pt idx="33">
                  <c:v>12</c:v>
                </c:pt>
                <c:pt idx="34">
                  <c:v>16</c:v>
                </c:pt>
                <c:pt idx="35">
                  <c:v>19</c:v>
                </c:pt>
                <c:pt idx="36">
                  <c:v>26</c:v>
                </c:pt>
                <c:pt idx="37">
                  <c:v>34</c:v>
                </c:pt>
                <c:pt idx="38">
                  <c:v>43</c:v>
                </c:pt>
                <c:pt idx="39">
                  <c:v>54</c:v>
                </c:pt>
                <c:pt idx="40">
                  <c:v>66</c:v>
                </c:pt>
                <c:pt idx="41">
                  <c:v>77</c:v>
                </c:pt>
                <c:pt idx="42">
                  <c:v>92</c:v>
                </c:pt>
                <c:pt idx="43">
                  <c:v>107</c:v>
                </c:pt>
                <c:pt idx="44">
                  <c:v>124</c:v>
                </c:pt>
                <c:pt idx="45">
                  <c:v>145</c:v>
                </c:pt>
                <c:pt idx="46">
                  <c:v>194</c:v>
                </c:pt>
                <c:pt idx="47">
                  <c:v>237</c:v>
                </c:pt>
                <c:pt idx="48">
                  <c:v>291</c:v>
                </c:pt>
                <c:pt idx="49">
                  <c:v>354</c:v>
                </c:pt>
                <c:pt idx="50">
                  <c:v>429</c:v>
                </c:pt>
                <c:pt idx="51">
                  <c:v>514</c:v>
                </c:pt>
                <c:pt idx="52">
                  <c:v>611</c:v>
                </c:pt>
                <c:pt idx="53">
                  <c:v>724</c:v>
                </c:pt>
                <c:pt idx="54">
                  <c:v>853</c:v>
                </c:pt>
                <c:pt idx="55">
                  <c:v>988</c:v>
                </c:pt>
                <c:pt idx="56">
                  <c:v>1135</c:v>
                </c:pt>
                <c:pt idx="57">
                  <c:v>1284</c:v>
                </c:pt>
                <c:pt idx="58">
                  <c:v>1433</c:v>
                </c:pt>
                <c:pt idx="59">
                  <c:v>1556</c:v>
                </c:pt>
                <c:pt idx="60">
                  <c:v>1685</c:v>
                </c:pt>
                <c:pt idx="61">
                  <c:v>1812</c:v>
                </c:pt>
                <c:pt idx="62">
                  <c:v>1934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DF3-402A-9B50-D258F18B8DF7}"/>
            </c:ext>
          </c:extLst>
        </c:ser>
        <c:ser>
          <c:idx val="7"/>
          <c:order val="7"/>
          <c:tx>
            <c:strRef>
              <c:f>'Deaths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Totals'!$I$2:$I$64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DF3-402A-9B50-D258F18B8DF7}"/>
            </c:ext>
          </c:extLst>
        </c:ser>
        <c:ser>
          <c:idx val="8"/>
          <c:order val="8"/>
          <c:tx>
            <c:strRef>
              <c:f>'Deaths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Totals'!$J$2:$J$64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10</c:v>
                </c:pt>
                <c:pt idx="48">
                  <c:v>10</c:v>
                </c:pt>
                <c:pt idx="49">
                  <c:v>15</c:v>
                </c:pt>
                <c:pt idx="50">
                  <c:v>16</c:v>
                </c:pt>
                <c:pt idx="51">
                  <c:v>19</c:v>
                </c:pt>
                <c:pt idx="52">
                  <c:v>22</c:v>
                </c:pt>
                <c:pt idx="53">
                  <c:v>22</c:v>
                </c:pt>
                <c:pt idx="54">
                  <c:v>27</c:v>
                </c:pt>
                <c:pt idx="55">
                  <c:v>29</c:v>
                </c:pt>
                <c:pt idx="56">
                  <c:v>29</c:v>
                </c:pt>
                <c:pt idx="57">
                  <c:v>29</c:v>
                </c:pt>
                <c:pt idx="58">
                  <c:v>33</c:v>
                </c:pt>
                <c:pt idx="59">
                  <c:v>35</c:v>
                </c:pt>
                <c:pt idx="60">
                  <c:v>41</c:v>
                </c:pt>
                <c:pt idx="61">
                  <c:v>42</c:v>
                </c:pt>
                <c:pt idx="62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DF3-402A-9B50-D258F18B8DF7}"/>
            </c:ext>
          </c:extLst>
        </c:ser>
        <c:ser>
          <c:idx val="9"/>
          <c:order val="9"/>
          <c:tx>
            <c:strRef>
              <c:f>'Deaths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Totals'!$K$2:$K$64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  <c:pt idx="60">
                  <c:v>111</c:v>
                </c:pt>
                <c:pt idx="61">
                  <c:v>111</c:v>
                </c:pt>
                <c:pt idx="62">
                  <c:v>120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DF3-402A-9B50-D258F18B8DF7}"/>
            </c:ext>
          </c:extLst>
        </c:ser>
        <c:ser>
          <c:idx val="10"/>
          <c:order val="10"/>
          <c:tx>
            <c:strRef>
              <c:f>'Deaths Country Totals'!$L$1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Totals'!$L$2:$L$64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DF3-402A-9B50-D258F18B8DF7}"/>
            </c:ext>
          </c:extLst>
        </c:ser>
        <c:ser>
          <c:idx val="12"/>
          <c:order val="12"/>
          <c:tx>
            <c:strRef>
              <c:f>'Deaths Country Totals'!$N$1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Totals'!$N$2:$N$64</c:f>
              <c:numCache>
                <c:formatCode>General</c:formatCode>
                <c:ptCount val="63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1370</c:v>
                </c:pt>
                <c:pt idx="23">
                  <c:v>1522</c:v>
                </c:pt>
                <c:pt idx="24">
                  <c:v>1665</c:v>
                </c:pt>
                <c:pt idx="25">
                  <c:v>1768</c:v>
                </c:pt>
                <c:pt idx="26">
                  <c:v>1866</c:v>
                </c:pt>
                <c:pt idx="27">
                  <c:v>2005</c:v>
                </c:pt>
                <c:pt idx="28">
                  <c:v>2120</c:v>
                </c:pt>
                <c:pt idx="29">
                  <c:v>2243</c:v>
                </c:pt>
                <c:pt idx="30">
                  <c:v>2247</c:v>
                </c:pt>
                <c:pt idx="31">
                  <c:v>2454</c:v>
                </c:pt>
                <c:pt idx="32">
                  <c:v>2464</c:v>
                </c:pt>
                <c:pt idx="33">
                  <c:v>2624</c:v>
                </c:pt>
                <c:pt idx="34">
                  <c:v>2703</c:v>
                </c:pt>
                <c:pt idx="35">
                  <c:v>2764</c:v>
                </c:pt>
                <c:pt idx="36">
                  <c:v>2808</c:v>
                </c:pt>
                <c:pt idx="37">
                  <c:v>2864</c:v>
                </c:pt>
                <c:pt idx="38">
                  <c:v>2933</c:v>
                </c:pt>
                <c:pt idx="39">
                  <c:v>2987</c:v>
                </c:pt>
                <c:pt idx="40">
                  <c:v>3076</c:v>
                </c:pt>
                <c:pt idx="41">
                  <c:v>3149</c:v>
                </c:pt>
                <c:pt idx="42">
                  <c:v>3240</c:v>
                </c:pt>
                <c:pt idx="43">
                  <c:v>3332</c:v>
                </c:pt>
                <c:pt idx="44">
                  <c:v>3440</c:v>
                </c:pt>
                <c:pt idx="45">
                  <c:v>3532</c:v>
                </c:pt>
                <c:pt idx="46">
                  <c:v>3762</c:v>
                </c:pt>
                <c:pt idx="47">
                  <c:v>3937</c:v>
                </c:pt>
                <c:pt idx="48">
                  <c:v>4198</c:v>
                </c:pt>
                <c:pt idx="49">
                  <c:v>4516</c:v>
                </c:pt>
                <c:pt idx="50">
                  <c:v>4613</c:v>
                </c:pt>
                <c:pt idx="51">
                  <c:v>5190</c:v>
                </c:pt>
                <c:pt idx="52">
                  <c:v>5519</c:v>
                </c:pt>
                <c:pt idx="53">
                  <c:v>6025</c:v>
                </c:pt>
                <c:pt idx="54">
                  <c:v>6647</c:v>
                </c:pt>
                <c:pt idx="55">
                  <c:v>7182</c:v>
                </c:pt>
                <c:pt idx="56">
                  <c:v>7852</c:v>
                </c:pt>
                <c:pt idx="57">
                  <c:v>8705</c:v>
                </c:pt>
                <c:pt idx="58">
                  <c:v>9813</c:v>
                </c:pt>
                <c:pt idx="59">
                  <c:v>11004</c:v>
                </c:pt>
                <c:pt idx="60">
                  <c:v>12097</c:v>
                </c:pt>
                <c:pt idx="61">
                  <c:v>13250</c:v>
                </c:pt>
                <c:pt idx="62">
                  <c:v>14652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FC-4C3D-A290-791ABF401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40207"/>
        <c:axId val="1482610640"/>
        <c:extLst>
          <c:ext xmlns:c15="http://schemas.microsoft.com/office/drawing/2012/chart" uri="{02D57815-91ED-43cb-92C2-25804820EDAC}">
            <c15:filteredLineSeries>
              <c15:ser>
                <c:idx val="11"/>
                <c:order val="11"/>
                <c:tx>
                  <c:strRef>
                    <c:extLst>
                      <c:ext uri="{02D57815-91ED-43cb-92C2-25804820EDAC}">
                        <c15:formulaRef>
                          <c15:sqref>'Deaths Country Totals'!$M$1</c15:sqref>
                        </c15:formulaRef>
                      </c:ext>
                    </c:extLst>
                    <c:strCache>
                      <c:ptCount val="1"/>
                      <c:pt idx="0">
                        <c:v>United Kingdom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triangle"/>
                  <c:size val="6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  <a:round/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'Deaths Country Totals'!$A$2:$A$64</c15:sqref>
                        </c15:formulaRef>
                      </c:ext>
                    </c:extLst>
                    <c:numCache>
                      <c:formatCode>m/d/yyyy</c:formatCode>
                      <c:ptCount val="63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'Deaths Country Totals'!$M$2:$M$64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1</c:v>
                      </c:pt>
                      <c:pt idx="44">
                        <c:v>2</c:v>
                      </c:pt>
                      <c:pt idx="45">
                        <c:v>2</c:v>
                      </c:pt>
                      <c:pt idx="46">
                        <c:v>3</c:v>
                      </c:pt>
                      <c:pt idx="47">
                        <c:v>4</c:v>
                      </c:pt>
                      <c:pt idx="48">
                        <c:v>6</c:v>
                      </c:pt>
                      <c:pt idx="49">
                        <c:v>8</c:v>
                      </c:pt>
                      <c:pt idx="50">
                        <c:v>8</c:v>
                      </c:pt>
                      <c:pt idx="51">
                        <c:v>8</c:v>
                      </c:pt>
                      <c:pt idx="52">
                        <c:v>21</c:v>
                      </c:pt>
                      <c:pt idx="53">
                        <c:v>21</c:v>
                      </c:pt>
                      <c:pt idx="54">
                        <c:v>56</c:v>
                      </c:pt>
                      <c:pt idx="55">
                        <c:v>56</c:v>
                      </c:pt>
                      <c:pt idx="56">
                        <c:v>72</c:v>
                      </c:pt>
                      <c:pt idx="57">
                        <c:v>138</c:v>
                      </c:pt>
                      <c:pt idx="58">
                        <c:v>178</c:v>
                      </c:pt>
                      <c:pt idx="59">
                        <c:v>234</c:v>
                      </c:pt>
                      <c:pt idx="60">
                        <c:v>282</c:v>
                      </c:pt>
                      <c:pt idx="61">
                        <c:v>336</c:v>
                      </c:pt>
                      <c:pt idx="62">
                        <c:v>423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B-9DF3-402A-9B50-D258F18B8DF7}"/>
                  </c:ext>
                </c:extLst>
              </c15:ser>
            </c15:filteredLineSeries>
          </c:ext>
        </c:extLst>
      </c:lineChart>
      <c:dateAx>
        <c:axId val="868440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73154918774721"/>
              <c:y val="0.97072097839178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10640"/>
        <c:crosses val="autoZero"/>
        <c:auto val="1"/>
        <c:lblOffset val="100"/>
        <c:baseTimeUnit val="days"/>
      </c:dateAx>
      <c:valAx>
        <c:axId val="148261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1.3665594509314771E-3"/>
              <c:y val="0.429020174022331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44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8768530326971551E-2"/>
          <c:y val="1.2561653869214585E-2"/>
          <c:w val="0.89999995695655277"/>
          <c:h val="3.53170274794007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95251259709553E-2"/>
          <c:y val="7.3798850990640999E-2"/>
          <c:w val="0.92136946043067924"/>
          <c:h val="0.82935056358300741"/>
        </c:manualLayout>
      </c:layout>
      <c:lineChart>
        <c:grouping val="standard"/>
        <c:varyColors val="0"/>
        <c:ser>
          <c:idx val="0"/>
          <c:order val="0"/>
          <c:tx>
            <c:strRef>
              <c:f>'Deaths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Totals'!$B$2:$B$64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7E9-48A2-AE87-F8859267A725}"/>
            </c:ext>
          </c:extLst>
        </c:ser>
        <c:ser>
          <c:idx val="1"/>
          <c:order val="1"/>
          <c:tx>
            <c:strRef>
              <c:f>'Deaths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Totals'!$C$2:$C$64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4</c:v>
                </c:pt>
                <c:pt idx="55">
                  <c:v>5</c:v>
                </c:pt>
                <c:pt idx="56">
                  <c:v>8</c:v>
                </c:pt>
                <c:pt idx="57">
                  <c:v>9</c:v>
                </c:pt>
                <c:pt idx="58">
                  <c:v>12</c:v>
                </c:pt>
                <c:pt idx="59">
                  <c:v>19</c:v>
                </c:pt>
                <c:pt idx="60">
                  <c:v>21</c:v>
                </c:pt>
                <c:pt idx="61">
                  <c:v>25</c:v>
                </c:pt>
                <c:pt idx="62">
                  <c:v>26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7E9-48A2-AE87-F8859267A725}"/>
            </c:ext>
          </c:extLst>
        </c:ser>
        <c:ser>
          <c:idx val="2"/>
          <c:order val="2"/>
          <c:tx>
            <c:strRef>
              <c:f>'Deaths Country Totals'!$D$1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Totals'!$D$2:$D$64</c:f>
              <c:numCache>
                <c:formatCode>General</c:formatCode>
                <c:ptCount val="63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7E9-48A2-AE87-F8859267A725}"/>
            </c:ext>
          </c:extLst>
        </c:ser>
        <c:ser>
          <c:idx val="3"/>
          <c:order val="3"/>
          <c:tx>
            <c:strRef>
              <c:f>'Deaths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Totals'!$E$2:$E$64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9</c:v>
                </c:pt>
                <c:pt idx="59">
                  <c:v>13</c:v>
                </c:pt>
                <c:pt idx="60">
                  <c:v>13</c:v>
                </c:pt>
                <c:pt idx="61">
                  <c:v>24</c:v>
                </c:pt>
                <c:pt idx="62">
                  <c:v>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7E9-48A2-AE87-F8859267A725}"/>
            </c:ext>
          </c:extLst>
        </c:ser>
        <c:ser>
          <c:idx val="4"/>
          <c:order val="4"/>
          <c:tx>
            <c:strRef>
              <c:f>'Deaths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Totals'!$F$2:$F$64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149</c:v>
                </c:pt>
                <c:pt idx="55">
                  <c:v>149</c:v>
                </c:pt>
                <c:pt idx="56">
                  <c:v>149</c:v>
                </c:pt>
                <c:pt idx="57">
                  <c:v>244</c:v>
                </c:pt>
                <c:pt idx="58">
                  <c:v>451</c:v>
                </c:pt>
                <c:pt idx="59">
                  <c:v>563</c:v>
                </c:pt>
                <c:pt idx="60">
                  <c:v>676</c:v>
                </c:pt>
                <c:pt idx="61">
                  <c:v>862</c:v>
                </c:pt>
                <c:pt idx="62">
                  <c:v>1102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7E9-48A2-AE87-F8859267A725}"/>
            </c:ext>
          </c:extLst>
        </c:ser>
        <c:ser>
          <c:idx val="5"/>
          <c:order val="5"/>
          <c:tx>
            <c:strRef>
              <c:f>'Deaths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Totals'!$G$2:$G$64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7E9-48A2-AE87-F8859267A725}"/>
            </c:ext>
          </c:extLst>
        </c:ser>
        <c:ser>
          <c:idx val="6"/>
          <c:order val="6"/>
          <c:tx>
            <c:strRef>
              <c:f>'Deaths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Totals'!$H$2:$H$64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5</c:v>
                </c:pt>
                <c:pt idx="32">
                  <c:v>8</c:v>
                </c:pt>
                <c:pt idx="33">
                  <c:v>12</c:v>
                </c:pt>
                <c:pt idx="34">
                  <c:v>16</c:v>
                </c:pt>
                <c:pt idx="35">
                  <c:v>19</c:v>
                </c:pt>
                <c:pt idx="36">
                  <c:v>26</c:v>
                </c:pt>
                <c:pt idx="37">
                  <c:v>34</c:v>
                </c:pt>
                <c:pt idx="38">
                  <c:v>43</c:v>
                </c:pt>
                <c:pt idx="39">
                  <c:v>54</c:v>
                </c:pt>
                <c:pt idx="40">
                  <c:v>66</c:v>
                </c:pt>
                <c:pt idx="41">
                  <c:v>77</c:v>
                </c:pt>
                <c:pt idx="42">
                  <c:v>92</c:v>
                </c:pt>
                <c:pt idx="43">
                  <c:v>107</c:v>
                </c:pt>
                <c:pt idx="44">
                  <c:v>124</c:v>
                </c:pt>
                <c:pt idx="45">
                  <c:v>145</c:v>
                </c:pt>
                <c:pt idx="46">
                  <c:v>194</c:v>
                </c:pt>
                <c:pt idx="47">
                  <c:v>237</c:v>
                </c:pt>
                <c:pt idx="48">
                  <c:v>291</c:v>
                </c:pt>
                <c:pt idx="49">
                  <c:v>354</c:v>
                </c:pt>
                <c:pt idx="50">
                  <c:v>429</c:v>
                </c:pt>
                <c:pt idx="51">
                  <c:v>514</c:v>
                </c:pt>
                <c:pt idx="52">
                  <c:v>611</c:v>
                </c:pt>
                <c:pt idx="53">
                  <c:v>724</c:v>
                </c:pt>
                <c:pt idx="54">
                  <c:v>853</c:v>
                </c:pt>
                <c:pt idx="55">
                  <c:v>988</c:v>
                </c:pt>
                <c:pt idx="56">
                  <c:v>1135</c:v>
                </c:pt>
                <c:pt idx="57">
                  <c:v>1284</c:v>
                </c:pt>
                <c:pt idx="58">
                  <c:v>1433</c:v>
                </c:pt>
                <c:pt idx="59">
                  <c:v>1556</c:v>
                </c:pt>
                <c:pt idx="60">
                  <c:v>1685</c:v>
                </c:pt>
                <c:pt idx="61">
                  <c:v>1812</c:v>
                </c:pt>
                <c:pt idx="62">
                  <c:v>1934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7E9-48A2-AE87-F8859267A725}"/>
            </c:ext>
          </c:extLst>
        </c:ser>
        <c:ser>
          <c:idx val="7"/>
          <c:order val="7"/>
          <c:tx>
            <c:strRef>
              <c:f>'Deaths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Totals'!$I$2:$I$64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7E9-48A2-AE87-F8859267A725}"/>
            </c:ext>
          </c:extLst>
        </c:ser>
        <c:ser>
          <c:idx val="8"/>
          <c:order val="8"/>
          <c:tx>
            <c:strRef>
              <c:f>'Deaths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Totals'!$J$2:$J$64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10</c:v>
                </c:pt>
                <c:pt idx="48">
                  <c:v>10</c:v>
                </c:pt>
                <c:pt idx="49">
                  <c:v>15</c:v>
                </c:pt>
                <c:pt idx="50">
                  <c:v>16</c:v>
                </c:pt>
                <c:pt idx="51">
                  <c:v>19</c:v>
                </c:pt>
                <c:pt idx="52">
                  <c:v>22</c:v>
                </c:pt>
                <c:pt idx="53">
                  <c:v>22</c:v>
                </c:pt>
                <c:pt idx="54">
                  <c:v>27</c:v>
                </c:pt>
                <c:pt idx="55">
                  <c:v>29</c:v>
                </c:pt>
                <c:pt idx="56">
                  <c:v>29</c:v>
                </c:pt>
                <c:pt idx="57">
                  <c:v>29</c:v>
                </c:pt>
                <c:pt idx="58">
                  <c:v>33</c:v>
                </c:pt>
                <c:pt idx="59">
                  <c:v>35</c:v>
                </c:pt>
                <c:pt idx="60">
                  <c:v>41</c:v>
                </c:pt>
                <c:pt idx="61">
                  <c:v>42</c:v>
                </c:pt>
                <c:pt idx="62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9-48A2-AE87-F8859267A725}"/>
            </c:ext>
          </c:extLst>
        </c:ser>
        <c:ser>
          <c:idx val="9"/>
          <c:order val="9"/>
          <c:tx>
            <c:strRef>
              <c:f>'Deaths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Totals'!$K$2:$K$64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  <c:pt idx="60">
                  <c:v>111</c:v>
                </c:pt>
                <c:pt idx="61">
                  <c:v>111</c:v>
                </c:pt>
                <c:pt idx="62">
                  <c:v>120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7E9-48A2-AE87-F8859267A725}"/>
            </c:ext>
          </c:extLst>
        </c:ser>
        <c:ser>
          <c:idx val="10"/>
          <c:order val="10"/>
          <c:tx>
            <c:strRef>
              <c:f>'Deaths Country Totals'!$L$1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Totals'!$L$2:$L$64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7E9-48A2-AE87-F8859267A725}"/>
            </c:ext>
          </c:extLst>
        </c:ser>
        <c:ser>
          <c:idx val="11"/>
          <c:order val="11"/>
          <c:tx>
            <c:strRef>
              <c:f>'Deaths Country Totals'!$M$1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Totals'!$M$2:$M$64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4</c:v>
                </c:pt>
                <c:pt idx="48">
                  <c:v>6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21</c:v>
                </c:pt>
                <c:pt idx="53">
                  <c:v>21</c:v>
                </c:pt>
                <c:pt idx="54">
                  <c:v>56</c:v>
                </c:pt>
                <c:pt idx="55">
                  <c:v>56</c:v>
                </c:pt>
                <c:pt idx="56">
                  <c:v>72</c:v>
                </c:pt>
                <c:pt idx="57">
                  <c:v>138</c:v>
                </c:pt>
                <c:pt idx="58">
                  <c:v>178</c:v>
                </c:pt>
                <c:pt idx="59">
                  <c:v>234</c:v>
                </c:pt>
                <c:pt idx="60">
                  <c:v>282</c:v>
                </c:pt>
                <c:pt idx="61">
                  <c:v>336</c:v>
                </c:pt>
                <c:pt idx="62">
                  <c:v>423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7E9-48A2-AE87-F8859267A725}"/>
            </c:ext>
          </c:extLst>
        </c:ser>
        <c:ser>
          <c:idx val="12"/>
          <c:order val="12"/>
          <c:tx>
            <c:strRef>
              <c:f>'Deaths Country Totals'!$N$1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'Deaths Country Totals'!$N$2:$N$64</c:f>
              <c:numCache>
                <c:formatCode>General</c:formatCode>
                <c:ptCount val="63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1370</c:v>
                </c:pt>
                <c:pt idx="23">
                  <c:v>1522</c:v>
                </c:pt>
                <c:pt idx="24">
                  <c:v>1665</c:v>
                </c:pt>
                <c:pt idx="25">
                  <c:v>1768</c:v>
                </c:pt>
                <c:pt idx="26">
                  <c:v>1866</c:v>
                </c:pt>
                <c:pt idx="27">
                  <c:v>2005</c:v>
                </c:pt>
                <c:pt idx="28">
                  <c:v>2120</c:v>
                </c:pt>
                <c:pt idx="29">
                  <c:v>2243</c:v>
                </c:pt>
                <c:pt idx="30">
                  <c:v>2247</c:v>
                </c:pt>
                <c:pt idx="31">
                  <c:v>2454</c:v>
                </c:pt>
                <c:pt idx="32">
                  <c:v>2464</c:v>
                </c:pt>
                <c:pt idx="33">
                  <c:v>2624</c:v>
                </c:pt>
                <c:pt idx="34">
                  <c:v>2703</c:v>
                </c:pt>
                <c:pt idx="35">
                  <c:v>2764</c:v>
                </c:pt>
                <c:pt idx="36">
                  <c:v>2808</c:v>
                </c:pt>
                <c:pt idx="37">
                  <c:v>2864</c:v>
                </c:pt>
                <c:pt idx="38">
                  <c:v>2933</c:v>
                </c:pt>
                <c:pt idx="39">
                  <c:v>2987</c:v>
                </c:pt>
                <c:pt idx="40">
                  <c:v>3076</c:v>
                </c:pt>
                <c:pt idx="41">
                  <c:v>3149</c:v>
                </c:pt>
                <c:pt idx="42">
                  <c:v>3240</c:v>
                </c:pt>
                <c:pt idx="43">
                  <c:v>3332</c:v>
                </c:pt>
                <c:pt idx="44">
                  <c:v>3440</c:v>
                </c:pt>
                <c:pt idx="45">
                  <c:v>3532</c:v>
                </c:pt>
                <c:pt idx="46">
                  <c:v>3762</c:v>
                </c:pt>
                <c:pt idx="47">
                  <c:v>3937</c:v>
                </c:pt>
                <c:pt idx="48">
                  <c:v>4198</c:v>
                </c:pt>
                <c:pt idx="49">
                  <c:v>4516</c:v>
                </c:pt>
                <c:pt idx="50">
                  <c:v>4613</c:v>
                </c:pt>
                <c:pt idx="51">
                  <c:v>5190</c:v>
                </c:pt>
                <c:pt idx="52">
                  <c:v>5519</c:v>
                </c:pt>
                <c:pt idx="53">
                  <c:v>6025</c:v>
                </c:pt>
                <c:pt idx="54">
                  <c:v>6647</c:v>
                </c:pt>
                <c:pt idx="55">
                  <c:v>7182</c:v>
                </c:pt>
                <c:pt idx="56">
                  <c:v>7852</c:v>
                </c:pt>
                <c:pt idx="57">
                  <c:v>8705</c:v>
                </c:pt>
                <c:pt idx="58">
                  <c:v>9813</c:v>
                </c:pt>
                <c:pt idx="59">
                  <c:v>11004</c:v>
                </c:pt>
                <c:pt idx="60">
                  <c:v>12097</c:v>
                </c:pt>
                <c:pt idx="61">
                  <c:v>13250</c:v>
                </c:pt>
                <c:pt idx="62">
                  <c:v>14652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86-4D14-AEC3-CB3A1FC26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40207"/>
        <c:axId val="1482610640"/>
        <c:extLst/>
      </c:lineChart>
      <c:dateAx>
        <c:axId val="868440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73154918774721"/>
              <c:y val="0.97072097839178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10640"/>
        <c:crosses val="autoZero"/>
        <c:auto val="1"/>
        <c:lblOffset val="100"/>
        <c:baseTimeUnit val="days"/>
      </c:dateAx>
      <c:valAx>
        <c:axId val="148261064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1.3665594509314771E-3"/>
              <c:y val="0.429020174022331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44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1870091432890532E-2"/>
          <c:y val="8.376823062704146E-3"/>
          <c:w val="0.97173035518591755"/>
          <c:h val="5.0752015682833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6.9965043755438744E-2"/>
          <c:w val="0.92026953242006049"/>
          <c:h val="0.8944740862825159"/>
        </c:manualLayout>
      </c:layout>
      <c:lineChart>
        <c:grouping val="standard"/>
        <c:varyColors val="0"/>
        <c:ser>
          <c:idx val="0"/>
          <c:order val="0"/>
          <c:tx>
            <c:strRef>
              <c:f>'Cases Days + Pop'!$A$2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Pop'!$B$1:$BL$1</c15:sqref>
                  </c15:fullRef>
                </c:ext>
              </c:extLst>
              <c:f>('Cases Days + Pop'!$B$1:$AK$1,'Cases Days + Pop'!$BK$1:$BL$1)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Pop'!$B$2:$BL$2</c15:sqref>
                  </c15:fullRef>
                </c:ext>
              </c:extLst>
              <c:f>('Cases Days + Pop'!$B$2:$AK$2,'Cases Days + Pop'!$BK$2:$BL$2)</c:f>
              <c:numCache>
                <c:formatCode>General</c:formatCode>
                <c:ptCount val="38"/>
                <c:pt idx="0">
                  <c:v>4.196097519502441</c:v>
                </c:pt>
                <c:pt idx="1">
                  <c:v>5.0196306775356305</c:v>
                </c:pt>
                <c:pt idx="2">
                  <c:v>5.0196306775356305</c:v>
                </c:pt>
                <c:pt idx="3">
                  <c:v>7.8431729336494236</c:v>
                </c:pt>
                <c:pt idx="4">
                  <c:v>9.8039661670617786</c:v>
                </c:pt>
                <c:pt idx="5">
                  <c:v>11.647111806469393</c:v>
                </c:pt>
                <c:pt idx="6">
                  <c:v>14.784380979929162</c:v>
                </c:pt>
                <c:pt idx="7">
                  <c:v>17.725570830047698</c:v>
                </c:pt>
                <c:pt idx="8">
                  <c:v>22.274611131564363</c:v>
                </c:pt>
                <c:pt idx="9">
                  <c:v>26.706003839076285</c:v>
                </c:pt>
                <c:pt idx="10">
                  <c:v>31.01974895258347</c:v>
                </c:pt>
                <c:pt idx="11">
                  <c:v>42.000191059692661</c:v>
                </c:pt>
                <c:pt idx="12">
                  <c:v>60.745374371114785</c:v>
                </c:pt>
                <c:pt idx="13">
                  <c:v>65.961084371991646</c:v>
                </c:pt>
                <c:pt idx="14">
                  <c:v>80.157227381897101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46-462E-BA19-4281FCA7C906}"/>
            </c:ext>
          </c:extLst>
        </c:ser>
        <c:ser>
          <c:idx val="1"/>
          <c:order val="1"/>
          <c:tx>
            <c:strRef>
              <c:f>'Cases Days + Pop'!$A$3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Pop'!$B$1:$BL$1</c15:sqref>
                  </c15:fullRef>
                </c:ext>
              </c:extLst>
              <c:f>('Cases Days + Pop'!$B$1:$AK$1,'Cases Days + Pop'!$BK$1:$BL$1)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Pop'!$B$3:$BL$3</c15:sqref>
                  </c15:fullRef>
                </c:ext>
              </c:extLst>
              <c:f>('Cases Days + Pop'!$B$3:$AK$3,'Cases Days + Pop'!$BK$3:$BL$3)</c:f>
              <c:numCache>
                <c:formatCode>General</c:formatCode>
                <c:ptCount val="38"/>
                <c:pt idx="0">
                  <c:v>2.8615218940604183</c:v>
                </c:pt>
                <c:pt idx="1">
                  <c:v>3.0999820518987868</c:v>
                </c:pt>
                <c:pt idx="2">
                  <c:v>5.1136456069783405</c:v>
                </c:pt>
                <c:pt idx="3">
                  <c:v>5.2461234724441006</c:v>
                </c:pt>
                <c:pt idx="4">
                  <c:v>6.6768844194743098</c:v>
                </c:pt>
                <c:pt idx="5">
                  <c:v>10.995662833658089</c:v>
                </c:pt>
                <c:pt idx="6">
                  <c:v>12.664883938526668</c:v>
                </c:pt>
                <c:pt idx="7">
                  <c:v>17.407591522200878</c:v>
                </c:pt>
                <c:pt idx="8">
                  <c:v>21.19645847452162</c:v>
                </c:pt>
                <c:pt idx="9">
                  <c:v>24.985325426842358</c:v>
                </c:pt>
                <c:pt idx="10">
                  <c:v>33.834846839955134</c:v>
                </c:pt>
                <c:pt idx="11">
                  <c:v>38.921996873840321</c:v>
                </c:pt>
                <c:pt idx="12">
                  <c:v>55.322756618501423</c:v>
                </c:pt>
                <c:pt idx="13">
                  <c:v>73.922648929894152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46-462E-BA19-4281FCA7C906}"/>
            </c:ext>
          </c:extLst>
        </c:ser>
        <c:ser>
          <c:idx val="2"/>
          <c:order val="2"/>
          <c:tx>
            <c:strRef>
              <c:f>'Cases Days + Pop'!$A$4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Pop'!$B$1:$BL$1</c15:sqref>
                  </c15:fullRef>
                </c:ext>
              </c:extLst>
              <c:f>('Cases Days + Pop'!$B$1:$AK$1,'Cases Days + Pop'!$BK$1:$BL$1)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Pop'!$B$4:$BL$4</c15:sqref>
                  </c15:fullRef>
                </c:ext>
              </c:extLst>
              <c:f>('Cases Days + Pop'!$B$4:$AK$4,'Cases Days + Pop'!$BK$4:$BL$4)</c:f>
              <c:numCache>
                <c:formatCode>General</c:formatCode>
                <c:ptCount val="38"/>
                <c:pt idx="0">
                  <c:v>0.3807343484055668</c:v>
                </c:pt>
                <c:pt idx="1">
                  <c:v>0.44673756573864865</c:v>
                </c:pt>
                <c:pt idx="2">
                  <c:v>0.6391890520677399</c:v>
                </c:pt>
                <c:pt idx="3">
                  <c:v>0.97684761652961127</c:v>
                </c:pt>
                <c:pt idx="4">
                  <c:v>1.4416492206962612</c:v>
                </c:pt>
                <c:pt idx="5">
                  <c:v>1.9988553291292259</c:v>
                </c:pt>
                <c:pt idx="6">
                  <c:v>3.8274918346099773</c:v>
                </c:pt>
                <c:pt idx="7">
                  <c:v>4.2290693042786227</c:v>
                </c:pt>
                <c:pt idx="8">
                  <c:v>5.6561283400907287</c:v>
                </c:pt>
                <c:pt idx="9">
                  <c:v>6.8101424873565071</c:v>
                </c:pt>
                <c:pt idx="10">
                  <c:v>8.2615184979755387</c:v>
                </c:pt>
                <c:pt idx="11">
                  <c:v>11.554036886833169</c:v>
                </c:pt>
                <c:pt idx="12">
                  <c:v>13.698099294095174</c:v>
                </c:pt>
                <c:pt idx="13">
                  <c:v>16.470929192793381</c:v>
                </c:pt>
                <c:pt idx="14">
                  <c:v>19.064508248629114</c:v>
                </c:pt>
                <c:pt idx="15">
                  <c:v>21.250951669126046</c:v>
                </c:pt>
                <c:pt idx="16">
                  <c:v>23.698628876120228</c:v>
                </c:pt>
                <c:pt idx="17">
                  <c:v>25.577288872632366</c:v>
                </c:pt>
                <c:pt idx="18">
                  <c:v>27.672022559571754</c:v>
                </c:pt>
                <c:pt idx="19">
                  <c:v>29.426318599214191</c:v>
                </c:pt>
                <c:pt idx="20">
                  <c:v>30.838092679433373</c:v>
                </c:pt>
                <c:pt idx="21">
                  <c:v>31.097242153804316</c:v>
                </c:pt>
                <c:pt idx="22">
                  <c:v>41.613291601736179</c:v>
                </c:pt>
                <c:pt idx="23">
                  <c:v>46.103594692512047</c:v>
                </c:pt>
                <c:pt idx="24">
                  <c:v>47.531348499032923</c:v>
                </c:pt>
                <c:pt idx="25">
                  <c:v>48.990366987448418</c:v>
                </c:pt>
                <c:pt idx="26">
                  <c:v>50.325021518994212</c:v>
                </c:pt>
                <c:pt idx="27">
                  <c:v>51.559629068477228</c:v>
                </c:pt>
                <c:pt idx="28">
                  <c:v>51.843095517655094</c:v>
                </c:pt>
                <c:pt idx="29">
                  <c:v>52.161300502271423</c:v>
                </c:pt>
                <c:pt idx="30">
                  <c:v>52.489927047519295</c:v>
                </c:pt>
                <c:pt idx="31">
                  <c:v>53.498039345943525</c:v>
                </c:pt>
                <c:pt idx="32">
                  <c:v>53.512629530827681</c:v>
                </c:pt>
                <c:pt idx="33">
                  <c:v>53.664784316048149</c:v>
                </c:pt>
                <c:pt idx="34">
                  <c:v>54.021201689646794</c:v>
                </c:pt>
                <c:pt idx="35">
                  <c:v>54.307447221659736</c:v>
                </c:pt>
                <c:pt idx="36">
                  <c:v>56.622423223278986</c:v>
                </c:pt>
                <c:pt idx="37">
                  <c:v>56.687036899194531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46-462E-BA19-4281FCA7C906}"/>
            </c:ext>
          </c:extLst>
        </c:ser>
        <c:ser>
          <c:idx val="3"/>
          <c:order val="3"/>
          <c:tx>
            <c:strRef>
              <c:f>'Cases Days + Pop'!$A$5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Pop'!$B$1:$BL$1</c15:sqref>
                  </c15:fullRef>
                </c:ext>
              </c:extLst>
              <c:f>('Cases Days + Pop'!$B$1:$AK$1,'Cases Days + Pop'!$BK$1:$BL$1)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Pop'!$B$5:$BL$5</c15:sqref>
                  </c15:fullRef>
                </c:ext>
              </c:extLst>
              <c:f>('Cases Days + Pop'!$B$5:$AK$5,'Cases Days + Pop'!$BK$5:$BL$5)</c:f>
              <c:numCache>
                <c:formatCode>General</c:formatCode>
                <c:ptCount val="38"/>
                <c:pt idx="0">
                  <c:v>45.578520914843786</c:v>
                </c:pt>
                <c:pt idx="1">
                  <c:v>76.654785174964559</c:v>
                </c:pt>
                <c:pt idx="2">
                  <c:v>106.52252804719173</c:v>
                </c:pt>
                <c:pt idx="3">
                  <c:v>138.80731369520609</c:v>
                </c:pt>
                <c:pt idx="4">
                  <c:v>144.33198289700533</c:v>
                </c:pt>
                <c:pt idx="5">
                  <c:v>151.06517348669817</c:v>
                </c:pt>
                <c:pt idx="6">
                  <c:v>161.07863641495931</c:v>
                </c:pt>
                <c:pt idx="7">
                  <c:v>176.96206037013212</c:v>
                </c:pt>
                <c:pt idx="8">
                  <c:v>192.67283841274875</c:v>
                </c:pt>
                <c:pt idx="9">
                  <c:v>211.49124288137742</c:v>
                </c:pt>
                <c:pt idx="10">
                  <c:v>230.82758508767478</c:v>
                </c:pt>
                <c:pt idx="11">
                  <c:v>245.15719582984158</c:v>
                </c:pt>
                <c:pt idx="12">
                  <c:v>261.38591161012687</c:v>
                </c:pt>
                <c:pt idx="13">
                  <c:v>271.39937453838803</c:v>
                </c:pt>
                <c:pt idx="14">
                  <c:v>296.60567777159707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46-462E-BA19-4281FCA7C906}"/>
            </c:ext>
          </c:extLst>
        </c:ser>
        <c:ser>
          <c:idx val="4"/>
          <c:order val="4"/>
          <c:tx>
            <c:strRef>
              <c:f>'Cases Days + Pop'!$A$6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Pop'!$B$1:$BL$1</c15:sqref>
                  </c15:fullRef>
                </c:ext>
              </c:extLst>
              <c:f>('Cases Days + Pop'!$B$1:$AK$1,'Cases Days + Pop'!$BK$1:$BL$1)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Pop'!$B$6:$BL$6</c15:sqref>
                  </c15:fullRef>
                </c:ext>
              </c:extLst>
              <c:f>('Cases Days + Pop'!$B$6:$AK$6,'Cases Days + Pop'!$BK$6:$BL$6)</c:f>
              <c:numCache>
                <c:formatCode>General</c:formatCode>
                <c:ptCount val="38"/>
                <c:pt idx="0">
                  <c:v>1.5320150313348397</c:v>
                </c:pt>
                <c:pt idx="1">
                  <c:v>1.9916195407352915</c:v>
                </c:pt>
                <c:pt idx="2">
                  <c:v>2.9261487098495436</c:v>
                </c:pt>
                <c:pt idx="3">
                  <c:v>3.1253106639230728</c:v>
                </c:pt>
                <c:pt idx="4">
                  <c:v>4.4122032902443387</c:v>
                </c:pt>
                <c:pt idx="5">
                  <c:v>5.8216571190723911</c:v>
                </c:pt>
                <c:pt idx="6">
                  <c:v>10.050018605556549</c:v>
                </c:pt>
                <c:pt idx="7">
                  <c:v>14.692024150501112</c:v>
                </c:pt>
                <c:pt idx="8">
                  <c:v>17.40369075596378</c:v>
                </c:pt>
                <c:pt idx="9">
                  <c:v>18.675263231971694</c:v>
                </c:pt>
                <c:pt idx="10">
                  <c:v>27.484349662147025</c:v>
                </c:pt>
                <c:pt idx="11">
                  <c:v>35.129104668507871</c:v>
                </c:pt>
                <c:pt idx="12">
                  <c:v>35.129104668507871</c:v>
                </c:pt>
                <c:pt idx="13">
                  <c:v>56.393473303435449</c:v>
                </c:pt>
                <c:pt idx="14">
                  <c:v>68.879395808814394</c:v>
                </c:pt>
                <c:pt idx="15">
                  <c:v>69.43092122009493</c:v>
                </c:pt>
                <c:pt idx="16">
                  <c:v>102.38456454410733</c:v>
                </c:pt>
                <c:pt idx="17">
                  <c:v>118.19495966748288</c:v>
                </c:pt>
                <c:pt idx="18">
                  <c:v>139.78105145899076</c:v>
                </c:pt>
                <c:pt idx="19">
                  <c:v>168.06204893743191</c:v>
                </c:pt>
                <c:pt idx="20">
                  <c:v>195.45447769769885</c:v>
                </c:pt>
                <c:pt idx="21">
                  <c:v>221.57533398195787</c:v>
                </c:pt>
                <c:pt idx="22">
                  <c:v>248.845201539718</c:v>
                </c:pt>
                <c:pt idx="23">
                  <c:v>308.28738475550978</c:v>
                </c:pt>
                <c:pt idx="24">
                  <c:v>346.57244038856743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46-462E-BA19-4281FCA7C906}"/>
            </c:ext>
          </c:extLst>
        </c:ser>
        <c:ser>
          <c:idx val="5"/>
          <c:order val="5"/>
          <c:tx>
            <c:strRef>
              <c:f>'Cases Days + Pop'!$A$7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Pop'!$B$1:$BL$1</c15:sqref>
                  </c15:fullRef>
                </c:ext>
              </c:extLst>
              <c:f>('Cases Days + Pop'!$B$1:$AK$1,'Cases Days + Pop'!$BK$1:$BL$1)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Pop'!$B$7:$BL$7</c15:sqref>
                  </c15:fullRef>
                </c:ext>
              </c:extLst>
              <c:f>('Cases Days + Pop'!$B$7:$AK$7,'Cases Days + Pop'!$BK$7:$BL$7)</c:f>
              <c:numCache>
                <c:formatCode>General</c:formatCode>
                <c:ptCount val="38"/>
                <c:pt idx="0">
                  <c:v>1.5516099731855539</c:v>
                </c:pt>
                <c:pt idx="1">
                  <c:v>1.8977383518192543</c:v>
                </c:pt>
                <c:pt idx="2">
                  <c:v>2.3393504211105274</c:v>
                </c:pt>
                <c:pt idx="3">
                  <c:v>3.1270908690355008</c:v>
                </c:pt>
                <c:pt idx="4">
                  <c:v>5.7528923621187458</c:v>
                </c:pt>
                <c:pt idx="5">
                  <c:v>7.9967590925717014</c:v>
                </c:pt>
                <c:pt idx="6">
                  <c:v>9.5364336044250582</c:v>
                </c:pt>
                <c:pt idx="7">
                  <c:v>12.412879785484431</c:v>
                </c:pt>
                <c:pt idx="8">
                  <c:v>14.036102526663164</c:v>
                </c:pt>
                <c:pt idx="9">
                  <c:v>17.3899671610104</c:v>
                </c:pt>
                <c:pt idx="10">
                  <c:v>22.772860221831053</c:v>
                </c:pt>
                <c:pt idx="11">
                  <c:v>24.80188864830447</c:v>
                </c:pt>
                <c:pt idx="12">
                  <c:v>43.862820395822389</c:v>
                </c:pt>
                <c:pt idx="13">
                  <c:v>54.724090208121268</c:v>
                </c:pt>
                <c:pt idx="14">
                  <c:v>69.16599842007912</c:v>
                </c:pt>
                <c:pt idx="15">
                  <c:v>86.794674807733443</c:v>
                </c:pt>
                <c:pt idx="16">
                  <c:v>110.48656555214363</c:v>
                </c:pt>
                <c:pt idx="17">
                  <c:v>147.12843184198709</c:v>
                </c:pt>
                <c:pt idx="18">
                  <c:v>182.85126760925144</c:v>
                </c:pt>
                <c:pt idx="19">
                  <c:v>236.8950365214375</c:v>
                </c:pt>
                <c:pt idx="20">
                  <c:v>265.12240257208236</c:v>
                </c:pt>
                <c:pt idx="21">
                  <c:v>296.87072971572525</c:v>
                </c:pt>
                <c:pt idx="22">
                  <c:v>346.79676446830348</c:v>
                </c:pt>
                <c:pt idx="23">
                  <c:v>393.70312750383601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46-462E-BA19-4281FCA7C906}"/>
            </c:ext>
          </c:extLst>
        </c:ser>
        <c:ser>
          <c:idx val="6"/>
          <c:order val="6"/>
          <c:tx>
            <c:strRef>
              <c:f>'Cases Days + Pop'!$A$8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Pop'!$B$1:$BL$1</c15:sqref>
                  </c15:fullRef>
                </c:ext>
              </c:extLst>
              <c:f>('Cases Days + Pop'!$B$1:$AK$1,'Cases Days + Pop'!$BK$1:$BL$1)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Pop'!$B$8:$BL$8</c15:sqref>
                  </c15:fullRef>
                </c:ext>
              </c:extLst>
              <c:f>('Cases Days + Pop'!$B$8:$AK$8,'Cases Days + Pop'!$BK$8:$BL$8)</c:f>
              <c:numCache>
                <c:formatCode>General</c:formatCode>
                <c:ptCount val="38"/>
                <c:pt idx="0">
                  <c:v>1.6549008179246094</c:v>
                </c:pt>
                <c:pt idx="1">
                  <c:v>2.9169115136081247</c:v>
                </c:pt>
                <c:pt idx="2">
                  <c:v>4.6194353766528664</c:v>
                </c:pt>
                <c:pt idx="3">
                  <c:v>7.0601164390596649</c:v>
                </c:pt>
                <c:pt idx="4">
                  <c:v>11.643834531872432</c:v>
                </c:pt>
                <c:pt idx="5">
                  <c:v>17.870547681329775</c:v>
                </c:pt>
                <c:pt idx="6">
                  <c:v>27.811858350157465</c:v>
                </c:pt>
                <c:pt idx="7">
                  <c:v>34.788634460256901</c:v>
                </c:pt>
                <c:pt idx="8">
                  <c:v>41.824939376756497</c:v>
                </c:pt>
                <c:pt idx="9">
                  <c:v>56.516648796317419</c:v>
                </c:pt>
                <c:pt idx="10">
                  <c:v>69.327247933633103</c:v>
                </c:pt>
                <c:pt idx="11">
                  <c:v>78.173228564697737</c:v>
                </c:pt>
                <c:pt idx="12">
                  <c:v>85.257156526317473</c:v>
                </c:pt>
                <c:pt idx="13">
                  <c:v>95.746132214026687</c:v>
                </c:pt>
                <c:pt idx="14">
                  <c:v>107.15185152029845</c:v>
                </c:pt>
                <c:pt idx="15">
                  <c:v>119.95054489633411</c:v>
                </c:pt>
                <c:pt idx="16">
                  <c:v>135.29707118629685</c:v>
                </c:pt>
                <c:pt idx="17">
                  <c:v>151.5484353335421</c:v>
                </c:pt>
                <c:pt idx="18">
                  <c:v>165.94250072110219</c:v>
                </c:pt>
                <c:pt idx="19">
                  <c:v>178.47926734897712</c:v>
                </c:pt>
                <c:pt idx="20">
                  <c:v>192.50425413685619</c:v>
                </c:pt>
                <c:pt idx="21">
                  <c:v>206.69592158265573</c:v>
                </c:pt>
                <c:pt idx="22">
                  <c:v>219.14934788157041</c:v>
                </c:pt>
                <c:pt idx="23">
                  <c:v>233.87677458497143</c:v>
                </c:pt>
                <c:pt idx="24">
                  <c:v>245.37773998148344</c:v>
                </c:pt>
                <c:pt idx="25">
                  <c:v>257.61686257735755</c:v>
                </c:pt>
                <c:pt idx="26">
                  <c:v>274.41589174348434</c:v>
                </c:pt>
                <c:pt idx="27">
                  <c:v>295.39384311890279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46-462E-BA19-4281FCA7C906}"/>
            </c:ext>
          </c:extLst>
        </c:ser>
        <c:ser>
          <c:idx val="7"/>
          <c:order val="7"/>
          <c:tx>
            <c:strRef>
              <c:f>'Cases Days + Pop'!$A$9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Pop'!$B$1:$BL$1</c15:sqref>
                  </c15:fullRef>
                </c:ext>
              </c:extLst>
              <c:f>('Cases Days + Pop'!$B$1:$AK$1,'Cases Days + Pop'!$BK$1:$BL$1)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Pop'!$B$9:$BL$9</c15:sqref>
                  </c15:fullRef>
                </c:ext>
              </c:extLst>
              <c:f>('Cases Days + Pop'!$B$9:$AK$9,'Cases Days + Pop'!$BK$9:$BL$9)</c:f>
              <c:numCache>
                <c:formatCode>General</c:formatCode>
                <c:ptCount val="38"/>
                <c:pt idx="0">
                  <c:v>2.5636010397701186</c:v>
                </c:pt>
                <c:pt idx="1">
                  <c:v>3.787513794241014</c:v>
                </c:pt>
                <c:pt idx="2">
                  <c:v>5.3256744181030848</c:v>
                </c:pt>
                <c:pt idx="3">
                  <c:v>7.4923307807475084</c:v>
                </c:pt>
                <c:pt idx="4">
                  <c:v>10.833281813222115</c:v>
                </c:pt>
                <c:pt idx="5">
                  <c:v>14.686953053650745</c:v>
                </c:pt>
                <c:pt idx="6">
                  <c:v>18.656399824907702</c:v>
                </c:pt>
                <c:pt idx="7">
                  <c:v>28.017678460455361</c:v>
                </c:pt>
                <c:pt idx="8">
                  <c:v>33.674140109496527</c:v>
                </c:pt>
                <c:pt idx="9">
                  <c:v>41.381482590353784</c:v>
                </c:pt>
                <c:pt idx="10">
                  <c:v>51.090087818386429</c:v>
                </c:pt>
                <c:pt idx="11">
                  <c:v>63.808856847955596</c:v>
                </c:pt>
                <c:pt idx="12">
                  <c:v>76.676480131446908</c:v>
                </c:pt>
                <c:pt idx="13">
                  <c:v>97.301063980436183</c:v>
                </c:pt>
                <c:pt idx="14">
                  <c:v>121.97779140841693</c:v>
                </c:pt>
                <c:pt idx="15">
                  <c:v>151.69902410820342</c:v>
                </c:pt>
                <c:pt idx="16">
                  <c:v>167.85798033952861</c:v>
                </c:pt>
                <c:pt idx="17">
                  <c:v>206.11352359751754</c:v>
                </c:pt>
                <c:pt idx="18">
                  <c:v>206.11352359751754</c:v>
                </c:pt>
                <c:pt idx="19">
                  <c:v>292.08512491832448</c:v>
                </c:pt>
                <c:pt idx="20">
                  <c:v>349.92327224784776</c:v>
                </c:pt>
                <c:pt idx="21">
                  <c:v>409.29958020123308</c:v>
                </c:pt>
                <c:pt idx="22">
                  <c:v>462.77133608237369</c:v>
                </c:pt>
                <c:pt idx="23">
                  <c:v>521.0891248967572</c:v>
                </c:pt>
                <c:pt idx="24">
                  <c:v>590.67021892458229</c:v>
                </c:pt>
                <c:pt idx="25">
                  <c:v>678.69270107720524</c:v>
                </c:pt>
                <c:pt idx="26">
                  <c:v>777.69731929697252</c:v>
                </c:pt>
                <c:pt idx="27">
                  <c:v>886.14591296002209</c:v>
                </c:pt>
                <c:pt idx="28">
                  <c:v>978.10476316080826</c:v>
                </c:pt>
                <c:pt idx="29">
                  <c:v>1057.3117656089314</c:v>
                </c:pt>
                <c:pt idx="30">
                  <c:v>1144.1268743686305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46-462E-BA19-4281FCA7C906}"/>
            </c:ext>
          </c:extLst>
        </c:ser>
        <c:ser>
          <c:idx val="8"/>
          <c:order val="8"/>
          <c:tx>
            <c:strRef>
              <c:f>'Cases Days + Pop'!$A$10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Pop'!$B$1:$BL$1</c15:sqref>
                  </c15:fullRef>
                </c:ext>
              </c:extLst>
              <c:f>('Cases Days + Pop'!$B$1:$AK$1,'Cases Days + Pop'!$BK$1:$BL$1)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Pop'!$B$10:$BL$10</c15:sqref>
                  </c15:fullRef>
                </c:ext>
              </c:extLst>
              <c:f>('Cases Days + Pop'!$B$10:$AK$10,'Cases Days + Pop'!$BK$10:$BL$10)</c:f>
              <c:numCache>
                <c:formatCode>General</c:formatCode>
                <c:ptCount val="38"/>
                <c:pt idx="0">
                  <c:v>0.83019400740506177</c:v>
                </c:pt>
                <c:pt idx="1">
                  <c:v>0.96460637050873843</c:v>
                </c:pt>
                <c:pt idx="2">
                  <c:v>1.1622716103670865</c:v>
                </c:pt>
                <c:pt idx="3">
                  <c:v>1.2571509254990934</c:v>
                </c:pt>
                <c:pt idx="4">
                  <c:v>1.3441236310367666</c:v>
                </c:pt>
                <c:pt idx="5">
                  <c:v>1.4943492133291112</c:v>
                </c:pt>
                <c:pt idx="6">
                  <c:v>1.692014453187459</c:v>
                </c:pt>
                <c:pt idx="7">
                  <c:v>1.8027069875081341</c:v>
                </c:pt>
                <c:pt idx="8">
                  <c:v>1.905492912234475</c:v>
                </c:pt>
                <c:pt idx="9">
                  <c:v>2.0240920561494837</c:v>
                </c:pt>
                <c:pt idx="10">
                  <c:v>2.1664110288474943</c:v>
                </c:pt>
                <c:pt idx="11">
                  <c:v>2.3166366111398391</c:v>
                </c:pt>
                <c:pt idx="12">
                  <c:v>2.6170877757245279</c:v>
                </c:pt>
                <c:pt idx="13">
                  <c:v>2.8463794539602114</c:v>
                </c:pt>
                <c:pt idx="14">
                  <c:v>3.3207760296202471</c:v>
                </c:pt>
                <c:pt idx="15">
                  <c:v>3.6449470229879375</c:v>
                </c:pt>
                <c:pt idx="16">
                  <c:v>3.9691180163556283</c:v>
                </c:pt>
                <c:pt idx="17">
                  <c:v>4.040277502704634</c:v>
                </c:pt>
                <c:pt idx="18">
                  <c:v>4.5937401743080084</c:v>
                </c:pt>
                <c:pt idx="19">
                  <c:v>5.0523235307793755</c:v>
                </c:pt>
                <c:pt idx="20">
                  <c:v>5.0523235307793755</c:v>
                </c:pt>
                <c:pt idx="21">
                  <c:v>5.5425333256280789</c:v>
                </c:pt>
                <c:pt idx="22">
                  <c:v>6.111809216420121</c:v>
                </c:pt>
                <c:pt idx="23">
                  <c:v>6.6336454496461599</c:v>
                </c:pt>
                <c:pt idx="24">
                  <c:v>6.6336454496461599</c:v>
                </c:pt>
                <c:pt idx="25">
                  <c:v>6.942003223825183</c:v>
                </c:pt>
                <c:pt idx="26">
                  <c:v>7.028975929362856</c:v>
                </c:pt>
                <c:pt idx="27">
                  <c:v>7.3057072651645427</c:v>
                </c:pt>
                <c:pt idx="28">
                  <c:v>7.6140650393435658</c:v>
                </c:pt>
                <c:pt idx="29">
                  <c:v>7.9619558614942587</c:v>
                </c:pt>
                <c:pt idx="30">
                  <c:v>8.7051771633616468</c:v>
                </c:pt>
                <c:pt idx="31">
                  <c:v>8.9186556224086626</c:v>
                </c:pt>
                <c:pt idx="32">
                  <c:v>9.4325852460403681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46-462E-BA19-4281FCA7C906}"/>
            </c:ext>
          </c:extLst>
        </c:ser>
        <c:ser>
          <c:idx val="9"/>
          <c:order val="9"/>
          <c:tx>
            <c:strRef>
              <c:f>'Cases Days + Pop'!$A$11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Pop'!$B$1:$BL$1</c15:sqref>
                  </c15:fullRef>
                </c:ext>
              </c:extLst>
              <c:f>('Cases Days + Pop'!$B$1:$AK$1,'Cases Days + Pop'!$BK$1:$BL$1)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Pop'!$B$11:$BL$11</c15:sqref>
                  </c15:fullRef>
                </c:ext>
              </c:extLst>
              <c:f>('Cases Days + Pop'!$B$11:$AK$11,'Cases Days + Pop'!$BK$11:$BL$11)</c:f>
              <c:numCache>
                <c:formatCode>General</c:formatCode>
                <c:ptCount val="38"/>
                <c:pt idx="0">
                  <c:v>2.0285089376786467</c:v>
                </c:pt>
                <c:pt idx="1">
                  <c:v>3.9789983008311913</c:v>
                </c:pt>
                <c:pt idx="2">
                  <c:v>8.445618942450519</c:v>
                </c:pt>
                <c:pt idx="3">
                  <c:v>11.741945966178319</c:v>
                </c:pt>
                <c:pt idx="4">
                  <c:v>16.247576395060698</c:v>
                </c:pt>
                <c:pt idx="5">
                  <c:v>19.056281078000364</c:v>
                </c:pt>
                <c:pt idx="6">
                  <c:v>24.59567086935359</c:v>
                </c:pt>
                <c:pt idx="7">
                  <c:v>34.445642153273937</c:v>
                </c:pt>
                <c:pt idx="8">
                  <c:v>45.582936416874972</c:v>
                </c:pt>
                <c:pt idx="9">
                  <c:v>61.440414939305157</c:v>
                </c:pt>
                <c:pt idx="10">
                  <c:v>72.870282607379067</c:v>
                </c:pt>
                <c:pt idx="11">
                  <c:v>84.553713892662813</c:v>
                </c:pt>
                <c:pt idx="12">
                  <c:v>101.15237837309097</c:v>
                </c:pt>
                <c:pt idx="13">
                  <c:v>109.63700710280455</c:v>
                </c:pt>
                <c:pt idx="14">
                  <c:v>118.74579242872693</c:v>
                </c:pt>
                <c:pt idx="15">
                  <c:v>128.59576371264728</c:v>
                </c:pt>
                <c:pt idx="16">
                  <c:v>137.33395605957068</c:v>
                </c:pt>
                <c:pt idx="17">
                  <c:v>142.65879202097713</c:v>
                </c:pt>
                <c:pt idx="18">
                  <c:v>145.85759457654729</c:v>
                </c:pt>
                <c:pt idx="19">
                  <c:v>146.54026585365068</c:v>
                </c:pt>
                <c:pt idx="20">
                  <c:v>151.26045011247984</c:v>
                </c:pt>
                <c:pt idx="21">
                  <c:v>153.48400798647376</c:v>
                </c:pt>
                <c:pt idx="22">
                  <c:v>155.62954628594156</c:v>
                </c:pt>
                <c:pt idx="23">
                  <c:v>157.71656990451476</c:v>
                </c:pt>
                <c:pt idx="24">
                  <c:v>159.1989418205107</c:v>
                </c:pt>
                <c:pt idx="25">
                  <c:v>160.6423039492436</c:v>
                </c:pt>
                <c:pt idx="26">
                  <c:v>162.28071501429173</c:v>
                </c:pt>
                <c:pt idx="27">
                  <c:v>164.09467012202359</c:v>
                </c:pt>
                <c:pt idx="28">
                  <c:v>167.05941395401547</c:v>
                </c:pt>
                <c:pt idx="29">
                  <c:v>168.75633969995818</c:v>
                </c:pt>
                <c:pt idx="30">
                  <c:v>171.62355906379241</c:v>
                </c:pt>
                <c:pt idx="31">
                  <c:v>174.78335183209953</c:v>
                </c:pt>
                <c:pt idx="32">
                  <c:v>174.78335183209953</c:v>
                </c:pt>
                <c:pt idx="33">
                  <c:v>176.26572374809547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46-462E-BA19-4281FCA7C906}"/>
            </c:ext>
          </c:extLst>
        </c:ser>
        <c:ser>
          <c:idx val="10"/>
          <c:order val="10"/>
          <c:tx>
            <c:strRef>
              <c:f>'Cases Days + Pop'!$A$12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Pop'!$B$1:$BL$1</c15:sqref>
                  </c15:fullRef>
                </c:ext>
              </c:extLst>
              <c:f>('Cases Days + Pop'!$B$1:$AK$1,'Cases Days + Pop'!$BK$1:$BL$1)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Pop'!$B$12:$BL$12</c15:sqref>
                  </c15:fullRef>
                </c:ext>
              </c:extLst>
              <c:f>('Cases Days + Pop'!$B$12:$AK$12,'Cases Days + Pop'!$BK$12:$BL$12)</c:f>
              <c:numCache>
                <c:formatCode>General</c:formatCode>
                <c:ptCount val="38"/>
                <c:pt idx="0">
                  <c:v>1.7087467401789156</c:v>
                </c:pt>
                <c:pt idx="1">
                  <c:v>2.4158143568046739</c:v>
                </c:pt>
                <c:pt idx="2">
                  <c:v>3.049229096698582</c:v>
                </c:pt>
                <c:pt idx="3">
                  <c:v>4.0361776449053695</c:v>
                </c:pt>
                <c:pt idx="4">
                  <c:v>4.7432452615311274</c:v>
                </c:pt>
                <c:pt idx="5">
                  <c:v>5.6565409330060659</c:v>
                </c:pt>
                <c:pt idx="6">
                  <c:v>6.7613340839838125</c:v>
                </c:pt>
                <c:pt idx="7">
                  <c:v>6.7613340839838125</c:v>
                </c:pt>
                <c:pt idx="8">
                  <c:v>11.81392142778871</c:v>
                </c:pt>
                <c:pt idx="9">
                  <c:v>16.851778196247235</c:v>
                </c:pt>
                <c:pt idx="10">
                  <c:v>16.866508771593608</c:v>
                </c:pt>
                <c:pt idx="11">
                  <c:v>22.84712236221981</c:v>
                </c:pt>
                <c:pt idx="12">
                  <c:v>28.871927678885125</c:v>
                </c:pt>
                <c:pt idx="13">
                  <c:v>38.918180065109439</c:v>
                </c:pt>
                <c:pt idx="14">
                  <c:v>40.008242640740818</c:v>
                </c:pt>
                <c:pt idx="15">
                  <c:v>59.128529440329025</c:v>
                </c:pt>
                <c:pt idx="16">
                  <c:v>74.639825280056598</c:v>
                </c:pt>
                <c:pt idx="17">
                  <c:v>84.62715536489543</c:v>
                </c:pt>
                <c:pt idx="18">
                  <c:v>99.077849779684371</c:v>
                </c:pt>
                <c:pt idx="19">
                  <c:v>120.26041712776437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46-462E-BA19-4281FCA7C906}"/>
            </c:ext>
          </c:extLst>
        </c:ser>
        <c:ser>
          <c:idx val="11"/>
          <c:order val="11"/>
          <c:tx>
            <c:strRef>
              <c:f>'Cases Days + Pop'!$A$13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Pop'!$B$1:$BL$1</c15:sqref>
                  </c15:fullRef>
                </c:ext>
              </c:extLst>
              <c:f>('Cases Days + Pop'!$B$1:$AK$1,'Cases Days + Pop'!$BK$1:$BL$1)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Pop'!$B$13:$BL$13</c15:sqref>
                  </c15:fullRef>
                </c:ext>
              </c:extLst>
              <c:f>('Cases Days + Pop'!$B$13:$AK$13,'Cases Days + Pop'!$BK$13:$BL$13)</c:f>
              <c:numCache>
                <c:formatCode>General</c:formatCode>
                <c:ptCount val="38"/>
                <c:pt idx="0">
                  <c:v>0.3564926131059899</c:v>
                </c:pt>
                <c:pt idx="1">
                  <c:v>0.45014745214230928</c:v>
                </c:pt>
                <c:pt idx="2">
                  <c:v>0.65558387325423562</c:v>
                </c:pt>
                <c:pt idx="3">
                  <c:v>0.79153444604889278</c:v>
                </c:pt>
                <c:pt idx="4">
                  <c:v>1.2144917836322706</c:v>
                </c:pt>
                <c:pt idx="5">
                  <c:v>1.564942149058498</c:v>
                </c:pt>
                <c:pt idx="6">
                  <c:v>1.7613151986507805</c:v>
                </c:pt>
                <c:pt idx="7">
                  <c:v>2.897257762446138</c:v>
                </c:pt>
                <c:pt idx="8">
                  <c:v>3.8700596388879069</c:v>
                </c:pt>
                <c:pt idx="9">
                  <c:v>5.024128945722552</c:v>
                </c:pt>
                <c:pt idx="10">
                  <c:v>6.5830288471012874</c:v>
                </c:pt>
                <c:pt idx="11">
                  <c:v>8.2386047113562242</c:v>
                </c:pt>
                <c:pt idx="12">
                  <c:v>10.570912315744565</c:v>
                </c:pt>
                <c:pt idx="13">
                  <c:v>13.993845626330044</c:v>
                </c:pt>
                <c:pt idx="14">
                  <c:v>19.398636175877638</c:v>
                </c:pt>
                <c:pt idx="15">
                  <c:v>23.513406845795927</c:v>
                </c:pt>
                <c:pt idx="16">
                  <c:v>41.319910758056132</c:v>
                </c:pt>
                <c:pt idx="17">
                  <c:v>57.703465341732262</c:v>
                </c:pt>
                <c:pt idx="18">
                  <c:v>77.005425554733691</c:v>
                </c:pt>
                <c:pt idx="19">
                  <c:v>100.53091689588915</c:v>
                </c:pt>
                <c:pt idx="20">
                  <c:v>132.46721700727406</c:v>
                </c:pt>
                <c:pt idx="21">
                  <c:v>162.35519515521946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46-462E-BA19-4281FCA7C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679360"/>
        <c:axId val="1421620608"/>
        <c:extLst/>
      </c:lineChart>
      <c:catAx>
        <c:axId val="212267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</a:t>
                </a:r>
                <a:r>
                  <a:rPr lang="en-AU" baseline="0"/>
                  <a:t> 100 cases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.44346415847590148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620608"/>
        <c:crosses val="autoZero"/>
        <c:auto val="1"/>
        <c:lblAlgn val="ctr"/>
        <c:lblOffset val="100"/>
        <c:noMultiLvlLbl val="0"/>
      </c:catAx>
      <c:valAx>
        <c:axId val="1421620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 per </a:t>
                </a:r>
                <a:r>
                  <a:rPr lang="en-AU" baseline="0"/>
                  <a:t> 1,000,000 (1m) people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"/>
              <c:y val="0.340756003911030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679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5466539315454234E-2"/>
          <c:y val="1.2557077437453148E-2"/>
          <c:w val="0.89999995695655277"/>
          <c:h val="3.53170274794007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39597582256214E-2"/>
          <c:y val="7.0905532412844002E-2"/>
          <c:w val="0.91054279127103321"/>
          <c:h val="0.85724355884085923"/>
        </c:manualLayout>
      </c:layout>
      <c:lineChart>
        <c:grouping val="standard"/>
        <c:varyColors val="0"/>
        <c:ser>
          <c:idx val="0"/>
          <c:order val="0"/>
          <c:tx>
            <c:strRef>
              <c:f>'Cases Days Since'!$A$2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Since'!$B$1:$BL$1</c15:sqref>
                  </c15:fullRef>
                </c:ext>
              </c:extLst>
              <c:f>('Cases Days Since'!$B$1:$AK$1,'Cases Days Since'!$BK$1:$BL$1)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Since'!$B$2:$BL$2</c15:sqref>
                  </c15:fullRef>
                </c:ext>
              </c:extLst>
              <c:f>('Cases Days Since'!$B$2:$AK$2,'Cases Days Since'!$BK$2:$BL$2)</c:f>
              <c:numCache>
                <c:formatCode>General</c:formatCode>
                <c:ptCount val="38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9-4F80-A108-91C710AD489C}"/>
            </c:ext>
          </c:extLst>
        </c:ser>
        <c:ser>
          <c:idx val="1"/>
          <c:order val="1"/>
          <c:tx>
            <c:strRef>
              <c:f>'Cases Days Since'!$A$3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Since'!$B$1:$BL$1</c15:sqref>
                  </c15:fullRef>
                </c:ext>
              </c:extLst>
              <c:f>('Cases Days Since'!$B$1:$AK$1,'Cases Days Since'!$BK$1:$BL$1)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Since'!$B$3:$BL$3</c15:sqref>
                  </c15:fullRef>
                </c:ext>
              </c:extLst>
              <c:f>('Cases Days Since'!$B$3:$AK$3,'Cases Days Since'!$BK$3:$BL$3)</c:f>
              <c:numCache>
                <c:formatCode>General</c:formatCode>
                <c:ptCount val="38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DF9-4F80-A108-91C710AD489C}"/>
            </c:ext>
          </c:extLst>
        </c:ser>
        <c:ser>
          <c:idx val="2"/>
          <c:order val="2"/>
          <c:tx>
            <c:strRef>
              <c:f>'Cases Days Since'!$A$4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Since'!$B$1:$BL$1</c15:sqref>
                  </c15:fullRef>
                </c:ext>
              </c:extLst>
              <c:f>('Cases Days Since'!$B$1:$AK$1,'Cases Days Since'!$BK$1:$BL$1)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Since'!$B$4:$BL$4</c15:sqref>
                  </c15:fullRef>
                </c:ext>
              </c:extLst>
              <c:f>('Cases Days Since'!$B$4:$AK$4,'Cases Days Since'!$BK$4:$BL$4)</c:f>
              <c:numCache>
                <c:formatCode>General</c:formatCode>
                <c:ptCount val="38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81498</c:v>
                </c:pt>
                <c:pt idx="37">
                  <c:v>81591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F9-4F80-A108-91C710AD489C}"/>
            </c:ext>
          </c:extLst>
        </c:ser>
        <c:ser>
          <c:idx val="3"/>
          <c:order val="3"/>
          <c:tx>
            <c:strRef>
              <c:f>'Cases Days Since'!$A$5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Since'!$B$1:$BL$1</c15:sqref>
                  </c15:fullRef>
                </c:ext>
              </c:extLst>
              <c:f>('Cases Days Since'!$B$1:$AK$1,'Cases Days Since'!$BK$1:$BL$1)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Since'!$B$5:$BL$5</c15:sqref>
                  </c15:fullRef>
                </c:ext>
              </c:extLst>
              <c:f>('Cases Days Since'!$B$5:$AK$5,'Cases Days Since'!$BK$5:$BL$5)</c:f>
              <c:numCache>
                <c:formatCode>General</c:formatCode>
                <c:ptCount val="38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F9-4F80-A108-91C710AD489C}"/>
            </c:ext>
          </c:extLst>
        </c:ser>
        <c:ser>
          <c:idx val="4"/>
          <c:order val="4"/>
          <c:tx>
            <c:strRef>
              <c:f>'Cases Days Since'!$A$6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Since'!$B$1:$BL$1</c15:sqref>
                  </c15:fullRef>
                </c:ext>
              </c:extLst>
              <c:f>('Cases Days Since'!$B$1:$AK$1,'Cases Days Since'!$BK$1:$BL$1)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Since'!$B$6:$BL$6</c15:sqref>
                  </c15:fullRef>
                </c:ext>
              </c:extLst>
              <c:f>('Cases Days Since'!$B$6:$AK$6,'Cases Days Since'!$BK$6:$BL$6)</c:f>
              <c:numCache>
                <c:formatCode>General</c:formatCode>
                <c:ptCount val="38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2293</c:v>
                </c:pt>
                <c:pt idx="13">
                  <c:v>3681</c:v>
                </c:pt>
                <c:pt idx="14">
                  <c:v>4496</c:v>
                </c:pt>
                <c:pt idx="15">
                  <c:v>4532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DF9-4F80-A108-91C710AD489C}"/>
            </c:ext>
          </c:extLst>
        </c:ser>
        <c:ser>
          <c:idx val="5"/>
          <c:order val="5"/>
          <c:tx>
            <c:strRef>
              <c:f>'Cases Days Since'!$A$7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Since'!$B$1:$BL$1</c15:sqref>
                  </c15:fullRef>
                </c:ext>
              </c:extLst>
              <c:f>('Cases Days Since'!$B$1:$AK$1,'Cases Days Since'!$BK$1:$BL$1)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Since'!$B$7:$BL$7</c15:sqref>
                  </c15:fullRef>
                </c:ext>
              </c:extLst>
              <c:f>('Cases Days Since'!$B$7:$AK$7,'Cases Days Since'!$BK$7:$BL$7)</c:f>
              <c:numCache>
                <c:formatCode>General</c:formatCode>
                <c:ptCount val="38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DF9-4F80-A108-91C710AD489C}"/>
            </c:ext>
          </c:extLst>
        </c:ser>
        <c:ser>
          <c:idx val="6"/>
          <c:order val="6"/>
          <c:tx>
            <c:strRef>
              <c:f>'Cases Days Since'!$A$8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Since'!$B$1:$BL$1</c15:sqref>
                  </c15:fullRef>
                </c:ext>
              </c:extLst>
              <c:f>('Cases Days Since'!$B$1:$AK$1,'Cases Days Since'!$BK$1:$BL$1)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Since'!$B$8:$BL$8</c15:sqref>
                  </c15:fullRef>
                </c:ext>
              </c:extLst>
              <c:f>('Cases Days Since'!$B$8:$AK$8,'Cases Days Since'!$BK$8:$BL$8)</c:f>
              <c:numCache>
                <c:formatCode>General</c:formatCode>
                <c:ptCount val="38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DF9-4F80-A108-91C710AD489C}"/>
            </c:ext>
          </c:extLst>
        </c:ser>
        <c:ser>
          <c:idx val="7"/>
          <c:order val="7"/>
          <c:tx>
            <c:strRef>
              <c:f>'Cases Days Since'!$A$9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Since'!$B$1:$BL$1</c15:sqref>
                  </c15:fullRef>
                </c:ext>
              </c:extLst>
              <c:f>('Cases Days Since'!$B$1:$AK$1,'Cases Days Since'!$BK$1:$BL$1)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Since'!$B$9:$BL$9</c15:sqref>
                  </c15:fullRef>
                </c:ext>
              </c:extLst>
              <c:f>('Cases Days Since'!$B$9:$AK$9,'Cases Days Since'!$BK$9:$BL$9)</c:f>
              <c:numCache>
                <c:formatCode>General</c:formatCode>
                <c:ptCount val="38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DF9-4F80-A108-91C710AD489C}"/>
            </c:ext>
          </c:extLst>
        </c:ser>
        <c:ser>
          <c:idx val="8"/>
          <c:order val="8"/>
          <c:tx>
            <c:strRef>
              <c:f>'Cases Days Since'!$A$10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Since'!$B$1:$BL$1</c15:sqref>
                  </c15:fullRef>
                </c:ext>
              </c:extLst>
              <c:f>('Cases Days Since'!$B$1:$AK$1,'Cases Days Since'!$BK$1:$BL$1)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Since'!$B$10:$BL$10</c15:sqref>
                  </c15:fullRef>
                </c:ext>
              </c:extLst>
              <c:f>('Cases Days Since'!$B$10:$AK$10,'Cases Days Since'!$BK$10:$BL$10)</c:f>
              <c:numCache>
                <c:formatCode>General</c:formatCode>
                <c:ptCount val="38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DF9-4F80-A108-91C710AD489C}"/>
            </c:ext>
          </c:extLst>
        </c:ser>
        <c:ser>
          <c:idx val="9"/>
          <c:order val="9"/>
          <c:tx>
            <c:strRef>
              <c:f>'Cases Days Since'!$A$11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Since'!$B$1:$BL$1</c15:sqref>
                  </c15:fullRef>
                </c:ext>
              </c:extLst>
              <c:f>('Cases Days Since'!$B$1:$AK$1,'Cases Days Since'!$BK$1:$BL$1)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Since'!$B$11:$BL$11</c15:sqref>
                  </c15:fullRef>
                </c:ext>
              </c:extLst>
              <c:f>('Cases Days Since'!$B$11:$AK$11,'Cases Days Since'!$BK$11:$BL$11)</c:f>
              <c:numCache>
                <c:formatCode>General</c:formatCode>
                <c:ptCount val="38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DF9-4F80-A108-91C710AD489C}"/>
            </c:ext>
          </c:extLst>
        </c:ser>
        <c:ser>
          <c:idx val="10"/>
          <c:order val="10"/>
          <c:tx>
            <c:strRef>
              <c:f>'Cases Days Since'!$A$12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Since'!$B$1:$BL$1</c15:sqref>
                  </c15:fullRef>
                </c:ext>
              </c:extLst>
              <c:f>('Cases Days Since'!$B$1:$AK$1,'Cases Days Since'!$BK$1:$BL$1)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Since'!$B$12:$BL$12</c15:sqref>
                  </c15:fullRef>
                </c:ext>
              </c:extLst>
              <c:f>('Cases Days Since'!$B$12:$AK$12,'Cases Days Since'!$BK$12:$BL$12)</c:f>
              <c:numCache>
                <c:formatCode>General</c:formatCode>
                <c:ptCount val="38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459</c:v>
                </c:pt>
                <c:pt idx="8">
                  <c:v>802</c:v>
                </c:pt>
                <c:pt idx="9">
                  <c:v>1144</c:v>
                </c:pt>
                <c:pt idx="10">
                  <c:v>1145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DF9-4F80-A108-91C710AD489C}"/>
            </c:ext>
          </c:extLst>
        </c:ser>
        <c:ser>
          <c:idx val="11"/>
          <c:order val="11"/>
          <c:tx>
            <c:strRef>
              <c:f>'Cases Days Since'!$A$13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Since'!$B$1:$BL$1</c15:sqref>
                  </c15:fullRef>
                </c:ext>
              </c:extLst>
              <c:f>('Cases Days Since'!$B$1:$AK$1,'Cases Days Since'!$BK$1:$BL$1)</c:f>
              <c:strCache>
                <c:ptCount val="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62</c:v>
                </c:pt>
                <c:pt idx="37">
                  <c:v>63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Since'!$B$13:$BL$13</c15:sqref>
                  </c15:fullRef>
                </c:ext>
              </c:extLst>
              <c:f>('Cases Days Since'!$B$13:$AK$13,'Cases Days Since'!$BK$13:$BL$13)</c:f>
              <c:numCache>
                <c:formatCode>General</c:formatCode>
                <c:ptCount val="38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6-4232-9B27-0B9BB1686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626543"/>
        <c:axId val="332271567"/>
        <c:extLst/>
      </c:lineChart>
      <c:catAx>
        <c:axId val="956626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</a:t>
                </a:r>
                <a:r>
                  <a:rPr lang="en-AU" baseline="0"/>
                  <a:t> Since 100 Cases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.45954491554664528"/>
              <c:y val="0.9707272854629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71567"/>
        <c:crosses val="autoZero"/>
        <c:auto val="1"/>
        <c:lblAlgn val="ctr"/>
        <c:lblOffset val="100"/>
        <c:noMultiLvlLbl val="0"/>
      </c:catAx>
      <c:valAx>
        <c:axId val="332271567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8203604143855E-3"/>
              <c:y val="0.468470232429737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626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29807208598503E-2"/>
          <c:y val="7.5846647357028243E-2"/>
          <c:w val="0.90151193694151543"/>
          <c:h val="0.82296210468358955"/>
        </c:manualLayout>
      </c:layout>
      <c:lineChart>
        <c:grouping val="standard"/>
        <c:varyColors val="0"/>
        <c:ser>
          <c:idx val="0"/>
          <c:order val="0"/>
          <c:tx>
            <c:strRef>
              <c:f>'Per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Totals'!$B$2:$B$64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  <c:pt idx="60">
                  <c:v>1549</c:v>
                </c:pt>
                <c:pt idx="61">
                  <c:v>1682</c:v>
                </c:pt>
                <c:pt idx="62">
                  <c:v>2044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25C-43FB-BD64-D361578E0FD6}"/>
            </c:ext>
          </c:extLst>
        </c:ser>
        <c:ser>
          <c:idx val="1"/>
          <c:order val="1"/>
          <c:tx>
            <c:strRef>
              <c:f>'Per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Totals'!$C$2:$C$64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11</c:v>
                </c:pt>
                <c:pt idx="36">
                  <c:v>13</c:v>
                </c:pt>
                <c:pt idx="37">
                  <c:v>14</c:v>
                </c:pt>
                <c:pt idx="38">
                  <c:v>20</c:v>
                </c:pt>
                <c:pt idx="39">
                  <c:v>24</c:v>
                </c:pt>
                <c:pt idx="40">
                  <c:v>27</c:v>
                </c:pt>
                <c:pt idx="41">
                  <c:v>30</c:v>
                </c:pt>
                <c:pt idx="42">
                  <c:v>33</c:v>
                </c:pt>
                <c:pt idx="43">
                  <c:v>37</c:v>
                </c:pt>
                <c:pt idx="44">
                  <c:v>49</c:v>
                </c:pt>
                <c:pt idx="45">
                  <c:v>54</c:v>
                </c:pt>
                <c:pt idx="46">
                  <c:v>64</c:v>
                </c:pt>
                <c:pt idx="47">
                  <c:v>77</c:v>
                </c:pt>
                <c:pt idx="48">
                  <c:v>79</c:v>
                </c:pt>
                <c:pt idx="49">
                  <c:v>108</c:v>
                </c:pt>
                <c:pt idx="50">
                  <c:v>117</c:v>
                </c:pt>
                <c:pt idx="51">
                  <c:v>193</c:v>
                </c:pt>
                <c:pt idx="52">
                  <c:v>198</c:v>
                </c:pt>
                <c:pt idx="53">
                  <c:v>252</c:v>
                </c:pt>
                <c:pt idx="54">
                  <c:v>415</c:v>
                </c:pt>
                <c:pt idx="55">
                  <c:v>478</c:v>
                </c:pt>
                <c:pt idx="56">
                  <c:v>657</c:v>
                </c:pt>
                <c:pt idx="57">
                  <c:v>800</c:v>
                </c:pt>
                <c:pt idx="58">
                  <c:v>943</c:v>
                </c:pt>
                <c:pt idx="59">
                  <c:v>1277</c:v>
                </c:pt>
                <c:pt idx="60">
                  <c:v>1469</c:v>
                </c:pt>
                <c:pt idx="61">
                  <c:v>2088</c:v>
                </c:pt>
                <c:pt idx="62">
                  <c:v>2790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25C-43FB-BD64-D361578E0FD6}"/>
            </c:ext>
          </c:extLst>
        </c:ser>
        <c:ser>
          <c:idx val="3"/>
          <c:order val="3"/>
          <c:tx>
            <c:strRef>
              <c:f>'Per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Totals'!$E$2:$E$64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6</c:v>
                </c:pt>
                <c:pt idx="42">
                  <c:v>11</c:v>
                </c:pt>
                <c:pt idx="43">
                  <c:v>11</c:v>
                </c:pt>
                <c:pt idx="44">
                  <c:v>24</c:v>
                </c:pt>
                <c:pt idx="45">
                  <c:v>24</c:v>
                </c:pt>
                <c:pt idx="46">
                  <c:v>37</c:v>
                </c:pt>
                <c:pt idx="47">
                  <c:v>92</c:v>
                </c:pt>
                <c:pt idx="48">
                  <c:v>264</c:v>
                </c:pt>
                <c:pt idx="49">
                  <c:v>444</c:v>
                </c:pt>
                <c:pt idx="50">
                  <c:v>617</c:v>
                </c:pt>
                <c:pt idx="51">
                  <c:v>804</c:v>
                </c:pt>
                <c:pt idx="52">
                  <c:v>836</c:v>
                </c:pt>
                <c:pt idx="53">
                  <c:v>875</c:v>
                </c:pt>
                <c:pt idx="54">
                  <c:v>933</c:v>
                </c:pt>
                <c:pt idx="55">
                  <c:v>1025</c:v>
                </c:pt>
                <c:pt idx="56">
                  <c:v>1116</c:v>
                </c:pt>
                <c:pt idx="57">
                  <c:v>1225</c:v>
                </c:pt>
                <c:pt idx="58">
                  <c:v>1337</c:v>
                </c:pt>
                <c:pt idx="59">
                  <c:v>1420</c:v>
                </c:pt>
                <c:pt idx="60">
                  <c:v>1514</c:v>
                </c:pt>
                <c:pt idx="61">
                  <c:v>1572</c:v>
                </c:pt>
                <c:pt idx="62">
                  <c:v>1718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25C-43FB-BD64-D361578E0FD6}"/>
            </c:ext>
          </c:extLst>
        </c:ser>
        <c:ser>
          <c:idx val="4"/>
          <c:order val="4"/>
          <c:tx>
            <c:strRef>
              <c:f>'Per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Totals'!$F$2:$F$64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18</c:v>
                </c:pt>
                <c:pt idx="36">
                  <c:v>38</c:v>
                </c:pt>
                <c:pt idx="37">
                  <c:v>57</c:v>
                </c:pt>
                <c:pt idx="38">
                  <c:v>100</c:v>
                </c:pt>
                <c:pt idx="39">
                  <c:v>130</c:v>
                </c:pt>
                <c:pt idx="40">
                  <c:v>191</c:v>
                </c:pt>
                <c:pt idx="41">
                  <c:v>204</c:v>
                </c:pt>
                <c:pt idx="42">
                  <c:v>288</c:v>
                </c:pt>
                <c:pt idx="43">
                  <c:v>380</c:v>
                </c:pt>
                <c:pt idx="44">
                  <c:v>656</c:v>
                </c:pt>
                <c:pt idx="45">
                  <c:v>959</c:v>
                </c:pt>
                <c:pt idx="46">
                  <c:v>1136</c:v>
                </c:pt>
                <c:pt idx="47">
                  <c:v>1219</c:v>
                </c:pt>
                <c:pt idx="48">
                  <c:v>1794</c:v>
                </c:pt>
                <c:pt idx="49">
                  <c:v>2293</c:v>
                </c:pt>
                <c:pt idx="50">
                  <c:v>2293</c:v>
                </c:pt>
                <c:pt idx="51">
                  <c:v>3681</c:v>
                </c:pt>
                <c:pt idx="52">
                  <c:v>4496</c:v>
                </c:pt>
                <c:pt idx="53">
                  <c:v>4532</c:v>
                </c:pt>
                <c:pt idx="54">
                  <c:v>6683</c:v>
                </c:pt>
                <c:pt idx="55">
                  <c:v>7715</c:v>
                </c:pt>
                <c:pt idx="56">
                  <c:v>9124</c:v>
                </c:pt>
                <c:pt idx="57">
                  <c:v>10970</c:v>
                </c:pt>
                <c:pt idx="58">
                  <c:v>12758</c:v>
                </c:pt>
                <c:pt idx="59">
                  <c:v>14463</c:v>
                </c:pt>
                <c:pt idx="60">
                  <c:v>16243</c:v>
                </c:pt>
                <c:pt idx="61">
                  <c:v>20123</c:v>
                </c:pt>
                <c:pt idx="62">
                  <c:v>22622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25C-43FB-BD64-D361578E0FD6}"/>
            </c:ext>
          </c:extLst>
        </c:ser>
        <c:ser>
          <c:idx val="5"/>
          <c:order val="5"/>
          <c:tx>
            <c:strRef>
              <c:f>'Per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Totals'!$G$2:$G$64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  <c:pt idx="61">
                  <c:v>29056</c:v>
                </c:pt>
                <c:pt idx="62">
                  <c:v>32986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25C-43FB-BD64-D361578E0FD6}"/>
            </c:ext>
          </c:extLst>
        </c:ser>
        <c:ser>
          <c:idx val="6"/>
          <c:order val="6"/>
          <c:tx>
            <c:strRef>
              <c:f>'Per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Totals'!$H$2:$H$64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5</c:v>
                </c:pt>
                <c:pt idx="30">
                  <c:v>18</c:v>
                </c:pt>
                <c:pt idx="31">
                  <c:v>28</c:v>
                </c:pt>
                <c:pt idx="32">
                  <c:v>43</c:v>
                </c:pt>
                <c:pt idx="33">
                  <c:v>61</c:v>
                </c:pt>
                <c:pt idx="34">
                  <c:v>95</c:v>
                </c:pt>
                <c:pt idx="35">
                  <c:v>139</c:v>
                </c:pt>
                <c:pt idx="36">
                  <c:v>245</c:v>
                </c:pt>
                <c:pt idx="37">
                  <c:v>388</c:v>
                </c:pt>
                <c:pt idx="38">
                  <c:v>593</c:v>
                </c:pt>
                <c:pt idx="39">
                  <c:v>978</c:v>
                </c:pt>
                <c:pt idx="40">
                  <c:v>1501</c:v>
                </c:pt>
                <c:pt idx="41">
                  <c:v>2336</c:v>
                </c:pt>
                <c:pt idx="42">
                  <c:v>2922</c:v>
                </c:pt>
                <c:pt idx="43">
                  <c:v>3513</c:v>
                </c:pt>
                <c:pt idx="44">
                  <c:v>4747</c:v>
                </c:pt>
                <c:pt idx="45">
                  <c:v>5823</c:v>
                </c:pt>
                <c:pt idx="46">
                  <c:v>6566</c:v>
                </c:pt>
                <c:pt idx="47">
                  <c:v>7161</c:v>
                </c:pt>
                <c:pt idx="48">
                  <c:v>8042</c:v>
                </c:pt>
                <c:pt idx="49">
                  <c:v>9000</c:v>
                </c:pt>
                <c:pt idx="50">
                  <c:v>10075</c:v>
                </c:pt>
                <c:pt idx="51">
                  <c:v>11364</c:v>
                </c:pt>
                <c:pt idx="52">
                  <c:v>12729</c:v>
                </c:pt>
                <c:pt idx="53">
                  <c:v>13938</c:v>
                </c:pt>
                <c:pt idx="54">
                  <c:v>14991</c:v>
                </c:pt>
                <c:pt idx="55">
                  <c:v>16169</c:v>
                </c:pt>
                <c:pt idx="56">
                  <c:v>17361</c:v>
                </c:pt>
                <c:pt idx="57">
                  <c:v>18407</c:v>
                </c:pt>
                <c:pt idx="58">
                  <c:v>19644</c:v>
                </c:pt>
                <c:pt idx="59">
                  <c:v>20610</c:v>
                </c:pt>
                <c:pt idx="60">
                  <c:v>21638</c:v>
                </c:pt>
                <c:pt idx="61">
                  <c:v>23049</c:v>
                </c:pt>
                <c:pt idx="62">
                  <c:v>24811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25C-43FB-BD64-D361578E0FD6}"/>
            </c:ext>
          </c:extLst>
        </c:ser>
        <c:ser>
          <c:idx val="7"/>
          <c:order val="7"/>
          <c:tx>
            <c:strRef>
              <c:f>'Per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Totals'!$I$2:$I$64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  <c:pt idx="62">
                  <c:v>69176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25C-43FB-BD64-D361578E0FD6}"/>
            </c:ext>
          </c:extLst>
        </c:ser>
        <c:ser>
          <c:idx val="8"/>
          <c:order val="8"/>
          <c:tx>
            <c:strRef>
              <c:f>'Per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Totals'!$J$2:$J$64</c:f>
              <c:numCache>
                <c:formatCode>General</c:formatCode>
                <c:ptCount val="6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7</c:v>
                </c:pt>
                <c:pt idx="7">
                  <c:v>7</c:v>
                </c:pt>
                <c:pt idx="8">
                  <c:v>11</c:v>
                </c:pt>
                <c:pt idx="9">
                  <c:v>15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28</c:v>
                </c:pt>
                <c:pt idx="22">
                  <c:v>28</c:v>
                </c:pt>
                <c:pt idx="23">
                  <c:v>29</c:v>
                </c:pt>
                <c:pt idx="24">
                  <c:v>43</c:v>
                </c:pt>
                <c:pt idx="25">
                  <c:v>59</c:v>
                </c:pt>
                <c:pt idx="26">
                  <c:v>66</c:v>
                </c:pt>
                <c:pt idx="27">
                  <c:v>74</c:v>
                </c:pt>
                <c:pt idx="28">
                  <c:v>84</c:v>
                </c:pt>
                <c:pt idx="29">
                  <c:v>94</c:v>
                </c:pt>
                <c:pt idx="30">
                  <c:v>105</c:v>
                </c:pt>
                <c:pt idx="31">
                  <c:v>122</c:v>
                </c:pt>
                <c:pt idx="32">
                  <c:v>147</c:v>
                </c:pt>
                <c:pt idx="33">
                  <c:v>159</c:v>
                </c:pt>
                <c:pt idx="34">
                  <c:v>170</c:v>
                </c:pt>
                <c:pt idx="35">
                  <c:v>189</c:v>
                </c:pt>
                <c:pt idx="36">
                  <c:v>214</c:v>
                </c:pt>
                <c:pt idx="37">
                  <c:v>228</c:v>
                </c:pt>
                <c:pt idx="38">
                  <c:v>241</c:v>
                </c:pt>
                <c:pt idx="39">
                  <c:v>256</c:v>
                </c:pt>
                <c:pt idx="40">
                  <c:v>274</c:v>
                </c:pt>
                <c:pt idx="41">
                  <c:v>293</c:v>
                </c:pt>
                <c:pt idx="42">
                  <c:v>331</c:v>
                </c:pt>
                <c:pt idx="43">
                  <c:v>360</c:v>
                </c:pt>
                <c:pt idx="44">
                  <c:v>420</c:v>
                </c:pt>
                <c:pt idx="45">
                  <c:v>461</c:v>
                </c:pt>
                <c:pt idx="46">
                  <c:v>502</c:v>
                </c:pt>
                <c:pt idx="47">
                  <c:v>511</c:v>
                </c:pt>
                <c:pt idx="48">
                  <c:v>581</c:v>
                </c:pt>
                <c:pt idx="49">
                  <c:v>639</c:v>
                </c:pt>
                <c:pt idx="50">
                  <c:v>639</c:v>
                </c:pt>
                <c:pt idx="51">
                  <c:v>701</c:v>
                </c:pt>
                <c:pt idx="52">
                  <c:v>773</c:v>
                </c:pt>
                <c:pt idx="53">
                  <c:v>839</c:v>
                </c:pt>
                <c:pt idx="54">
                  <c:v>839</c:v>
                </c:pt>
                <c:pt idx="55">
                  <c:v>878</c:v>
                </c:pt>
                <c:pt idx="56">
                  <c:v>889</c:v>
                </c:pt>
                <c:pt idx="57">
                  <c:v>924</c:v>
                </c:pt>
                <c:pt idx="58">
                  <c:v>963</c:v>
                </c:pt>
                <c:pt idx="59">
                  <c:v>1007</c:v>
                </c:pt>
                <c:pt idx="60">
                  <c:v>1101</c:v>
                </c:pt>
                <c:pt idx="61">
                  <c:v>1128</c:v>
                </c:pt>
                <c:pt idx="62">
                  <c:v>1193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25C-43FB-BD64-D361578E0FD6}"/>
            </c:ext>
          </c:extLst>
        </c:ser>
        <c:ser>
          <c:idx val="9"/>
          <c:order val="9"/>
          <c:tx>
            <c:strRef>
              <c:f>'Per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Totals'!$K$2:$K$64</c:f>
              <c:numCache>
                <c:formatCode>General</c:formatCode>
                <c:ptCount val="6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  <c:pt idx="60">
                  <c:v>8961</c:v>
                </c:pt>
                <c:pt idx="61">
                  <c:v>8961</c:v>
                </c:pt>
                <c:pt idx="62">
                  <c:v>9037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25C-43FB-BD64-D361578E0FD6}"/>
            </c:ext>
          </c:extLst>
        </c:ser>
        <c:ser>
          <c:idx val="10"/>
          <c:order val="10"/>
          <c:tx>
            <c:strRef>
              <c:f>'Per Country Totals'!$L$1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Totals'!$L$2:$L$64</c:f>
              <c:numCache>
                <c:formatCode>General</c:formatCode>
                <c:ptCount val="6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25C-43FB-BD64-D361578E0FD6}"/>
            </c:ext>
          </c:extLst>
        </c:ser>
        <c:ser>
          <c:idx val="11"/>
          <c:order val="11"/>
          <c:tx>
            <c:strRef>
              <c:f>'Per Country Totals'!$M$1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Totals'!$M$2:$M$64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8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15</c:v>
                </c:pt>
                <c:pt idx="37">
                  <c:v>20</c:v>
                </c:pt>
                <c:pt idx="38">
                  <c:v>23</c:v>
                </c:pt>
                <c:pt idx="39">
                  <c:v>36</c:v>
                </c:pt>
                <c:pt idx="40">
                  <c:v>40</c:v>
                </c:pt>
                <c:pt idx="41">
                  <c:v>51</c:v>
                </c:pt>
                <c:pt idx="42">
                  <c:v>86</c:v>
                </c:pt>
                <c:pt idx="43">
                  <c:v>116</c:v>
                </c:pt>
                <c:pt idx="44">
                  <c:v>164</c:v>
                </c:pt>
                <c:pt idx="45">
                  <c:v>207</c:v>
                </c:pt>
                <c:pt idx="46">
                  <c:v>274</c:v>
                </c:pt>
                <c:pt idx="47">
                  <c:v>322</c:v>
                </c:pt>
                <c:pt idx="48">
                  <c:v>384</c:v>
                </c:pt>
                <c:pt idx="49">
                  <c:v>459</c:v>
                </c:pt>
                <c:pt idx="50">
                  <c:v>459</c:v>
                </c:pt>
                <c:pt idx="51">
                  <c:v>802</c:v>
                </c:pt>
                <c:pt idx="52">
                  <c:v>1144</c:v>
                </c:pt>
                <c:pt idx="53">
                  <c:v>1145</c:v>
                </c:pt>
                <c:pt idx="54">
                  <c:v>1551</c:v>
                </c:pt>
                <c:pt idx="55">
                  <c:v>1960</c:v>
                </c:pt>
                <c:pt idx="56">
                  <c:v>2642</c:v>
                </c:pt>
                <c:pt idx="57">
                  <c:v>2716</c:v>
                </c:pt>
                <c:pt idx="58">
                  <c:v>4014</c:v>
                </c:pt>
                <c:pt idx="59">
                  <c:v>5067</c:v>
                </c:pt>
                <c:pt idx="60">
                  <c:v>5745</c:v>
                </c:pt>
                <c:pt idx="61">
                  <c:v>6726</c:v>
                </c:pt>
                <c:pt idx="62">
                  <c:v>8164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25C-43FB-BD64-D361578E0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815183"/>
        <c:axId val="216951375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'Per Country Totals'!$D$1</c15:sqref>
                        </c15:formulaRef>
                      </c:ext>
                    </c:extLst>
                    <c:strCache>
                      <c:ptCount val="1"/>
                      <c:pt idx="0">
                        <c:v>China</c:v>
                      </c:pt>
                    </c:strCache>
                  </c:strRef>
                </c:tx>
                <c:spPr>
                  <a:ln w="12700" cap="rnd">
                    <a:solidFill>
                      <a:srgbClr val="FCE300"/>
                    </a:solidFill>
                    <a:prstDash val="solid"/>
                    <a:round/>
                  </a:ln>
                  <a:effectLst/>
                </c:spPr>
                <c:marker>
                  <c:symbol val="triangle"/>
                  <c:size val="3"/>
                  <c:spPr>
                    <a:solidFill>
                      <a:srgbClr val="FFFFFF"/>
                    </a:solidFill>
                    <a:ln w="12700">
                      <a:solidFill>
                        <a:srgbClr val="FCE300"/>
                      </a:solidFill>
                      <a:prstDash val="solid"/>
                      <a:round/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'Per Country Totals'!$A$2:$A$64</c15:sqref>
                        </c15:formulaRef>
                      </c:ext>
                    </c:extLst>
                    <c:numCache>
                      <c:formatCode>m/d/yyyy</c:formatCode>
                      <c:ptCount val="63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'Per Country Totals'!$D$2:$D$64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548</c:v>
                      </c:pt>
                      <c:pt idx="1">
                        <c:v>643</c:v>
                      </c:pt>
                      <c:pt idx="2">
                        <c:v>920</c:v>
                      </c:pt>
                      <c:pt idx="3">
                        <c:v>1406</c:v>
                      </c:pt>
                      <c:pt idx="4">
                        <c:v>2075</c:v>
                      </c:pt>
                      <c:pt idx="5">
                        <c:v>2877</c:v>
                      </c:pt>
                      <c:pt idx="6">
                        <c:v>5509</c:v>
                      </c:pt>
                      <c:pt idx="7">
                        <c:v>6087</c:v>
                      </c:pt>
                      <c:pt idx="8">
                        <c:v>8141</c:v>
                      </c:pt>
                      <c:pt idx="9">
                        <c:v>9802</c:v>
                      </c:pt>
                      <c:pt idx="10">
                        <c:v>11891</c:v>
                      </c:pt>
                      <c:pt idx="11">
                        <c:v>16630</c:v>
                      </c:pt>
                      <c:pt idx="12">
                        <c:v>19716</c:v>
                      </c:pt>
                      <c:pt idx="13">
                        <c:v>23707</c:v>
                      </c:pt>
                      <c:pt idx="14">
                        <c:v>27440</c:v>
                      </c:pt>
                      <c:pt idx="15">
                        <c:v>30587</c:v>
                      </c:pt>
                      <c:pt idx="16">
                        <c:v>34110</c:v>
                      </c:pt>
                      <c:pt idx="17">
                        <c:v>36814</c:v>
                      </c:pt>
                      <c:pt idx="18">
                        <c:v>39829</c:v>
                      </c:pt>
                      <c:pt idx="19">
                        <c:v>42354</c:v>
                      </c:pt>
                      <c:pt idx="20">
                        <c:v>44386</c:v>
                      </c:pt>
                      <c:pt idx="21">
                        <c:v>44759</c:v>
                      </c:pt>
                      <c:pt idx="22">
                        <c:v>59895</c:v>
                      </c:pt>
                      <c:pt idx="23">
                        <c:v>66358</c:v>
                      </c:pt>
                      <c:pt idx="24">
                        <c:v>68413</c:v>
                      </c:pt>
                      <c:pt idx="25">
                        <c:v>70513</c:v>
                      </c:pt>
                      <c:pt idx="26">
                        <c:v>72434</c:v>
                      </c:pt>
                      <c:pt idx="27">
                        <c:v>74211</c:v>
                      </c:pt>
                      <c:pt idx="28">
                        <c:v>74619</c:v>
                      </c:pt>
                      <c:pt idx="29">
                        <c:v>75077</c:v>
                      </c:pt>
                      <c:pt idx="30">
                        <c:v>75550</c:v>
                      </c:pt>
                      <c:pt idx="31">
                        <c:v>77001</c:v>
                      </c:pt>
                      <c:pt idx="32">
                        <c:v>77022</c:v>
                      </c:pt>
                      <c:pt idx="33">
                        <c:v>77241</c:v>
                      </c:pt>
                      <c:pt idx="34">
                        <c:v>77754</c:v>
                      </c:pt>
                      <c:pt idx="35">
                        <c:v>78166</c:v>
                      </c:pt>
                      <c:pt idx="36">
                        <c:v>78600</c:v>
                      </c:pt>
                      <c:pt idx="37">
                        <c:v>78928</c:v>
                      </c:pt>
                      <c:pt idx="38">
                        <c:v>79356</c:v>
                      </c:pt>
                      <c:pt idx="39">
                        <c:v>79932</c:v>
                      </c:pt>
                      <c:pt idx="40">
                        <c:v>80136</c:v>
                      </c:pt>
                      <c:pt idx="41">
                        <c:v>80261</c:v>
                      </c:pt>
                      <c:pt idx="42">
                        <c:v>80386</c:v>
                      </c:pt>
                      <c:pt idx="43">
                        <c:v>80537</c:v>
                      </c:pt>
                      <c:pt idx="44">
                        <c:v>80690</c:v>
                      </c:pt>
                      <c:pt idx="45">
                        <c:v>80770</c:v>
                      </c:pt>
                      <c:pt idx="46">
                        <c:v>80823</c:v>
                      </c:pt>
                      <c:pt idx="47">
                        <c:v>80860</c:v>
                      </c:pt>
                      <c:pt idx="48">
                        <c:v>80887</c:v>
                      </c:pt>
                      <c:pt idx="49">
                        <c:v>80921</c:v>
                      </c:pt>
                      <c:pt idx="50">
                        <c:v>80932</c:v>
                      </c:pt>
                      <c:pt idx="51">
                        <c:v>80945</c:v>
                      </c:pt>
                      <c:pt idx="52">
                        <c:v>80977</c:v>
                      </c:pt>
                      <c:pt idx="53">
                        <c:v>81003</c:v>
                      </c:pt>
                      <c:pt idx="54">
                        <c:v>81033</c:v>
                      </c:pt>
                      <c:pt idx="55">
                        <c:v>81058</c:v>
                      </c:pt>
                      <c:pt idx="56">
                        <c:v>81102</c:v>
                      </c:pt>
                      <c:pt idx="57">
                        <c:v>81156</c:v>
                      </c:pt>
                      <c:pt idx="58">
                        <c:v>81250</c:v>
                      </c:pt>
                      <c:pt idx="59">
                        <c:v>81305</c:v>
                      </c:pt>
                      <c:pt idx="60">
                        <c:v>81435</c:v>
                      </c:pt>
                      <c:pt idx="61">
                        <c:v>81498</c:v>
                      </c:pt>
                      <c:pt idx="62">
                        <c:v>81591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125C-43FB-BD64-D361578E0FD6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'Per Country Totals'!$N$1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x"/>
                  <c:size val="6"/>
                  <c:spPr>
                    <a:noFill/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round/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'Per Country Totals'!$A$2:$A$64</c15:sqref>
                        </c15:formulaRef>
                      </c:ext>
                    </c:extLst>
                    <c:numCache>
                      <c:formatCode>m/d/yyyy</c:formatCode>
                      <c:ptCount val="63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'Per Country Totals'!$N$2:$N$64</c15:sqref>
                        </c15:formulaRef>
                      </c:ext>
                    </c:extLst>
                    <c:numCache>
                      <c:formatCode>General</c:formatCode>
                      <c:ptCount val="63"/>
                      <c:pt idx="0">
                        <c:v>552</c:v>
                      </c:pt>
                      <c:pt idx="1">
                        <c:v>647</c:v>
                      </c:pt>
                      <c:pt idx="2">
                        <c:v>928</c:v>
                      </c:pt>
                      <c:pt idx="3">
                        <c:v>1415</c:v>
                      </c:pt>
                      <c:pt idx="4">
                        <c:v>2095</c:v>
                      </c:pt>
                      <c:pt idx="5">
                        <c:v>2900</c:v>
                      </c:pt>
                      <c:pt idx="6">
                        <c:v>5540</c:v>
                      </c:pt>
                      <c:pt idx="7">
                        <c:v>6120</c:v>
                      </c:pt>
                      <c:pt idx="8">
                        <c:v>8181</c:v>
                      </c:pt>
                      <c:pt idx="9">
                        <c:v>9862</c:v>
                      </c:pt>
                      <c:pt idx="10">
                        <c:v>11965</c:v>
                      </c:pt>
                      <c:pt idx="11">
                        <c:v>16709</c:v>
                      </c:pt>
                      <c:pt idx="12">
                        <c:v>19800</c:v>
                      </c:pt>
                      <c:pt idx="13">
                        <c:v>23795</c:v>
                      </c:pt>
                      <c:pt idx="14">
                        <c:v>27532</c:v>
                      </c:pt>
                      <c:pt idx="15">
                        <c:v>30684</c:v>
                      </c:pt>
                      <c:pt idx="16">
                        <c:v>34217</c:v>
                      </c:pt>
                      <c:pt idx="17">
                        <c:v>36926</c:v>
                      </c:pt>
                      <c:pt idx="18">
                        <c:v>39944</c:v>
                      </c:pt>
                      <c:pt idx="19">
                        <c:v>42476</c:v>
                      </c:pt>
                      <c:pt idx="20">
                        <c:v>44512</c:v>
                      </c:pt>
                      <c:pt idx="21">
                        <c:v>44888</c:v>
                      </c:pt>
                      <c:pt idx="22">
                        <c:v>60025</c:v>
                      </c:pt>
                      <c:pt idx="23">
                        <c:v>66489</c:v>
                      </c:pt>
                      <c:pt idx="24">
                        <c:v>68559</c:v>
                      </c:pt>
                      <c:pt idx="25">
                        <c:v>70676</c:v>
                      </c:pt>
                      <c:pt idx="26">
                        <c:v>72606</c:v>
                      </c:pt>
                      <c:pt idx="27">
                        <c:v>74392</c:v>
                      </c:pt>
                      <c:pt idx="28">
                        <c:v>74812</c:v>
                      </c:pt>
                      <c:pt idx="29">
                        <c:v>75356</c:v>
                      </c:pt>
                      <c:pt idx="30">
                        <c:v>75973</c:v>
                      </c:pt>
                      <c:pt idx="31">
                        <c:v>77722</c:v>
                      </c:pt>
                      <c:pt idx="32">
                        <c:v>78045</c:v>
                      </c:pt>
                      <c:pt idx="33">
                        <c:v>78640</c:v>
                      </c:pt>
                      <c:pt idx="34">
                        <c:v>79439</c:v>
                      </c:pt>
                      <c:pt idx="35">
                        <c:v>80349</c:v>
                      </c:pt>
                      <c:pt idx="36">
                        <c:v>81666</c:v>
                      </c:pt>
                      <c:pt idx="37">
                        <c:v>82984</c:v>
                      </c:pt>
                      <c:pt idx="38">
                        <c:v>84786</c:v>
                      </c:pt>
                      <c:pt idx="39">
                        <c:v>87021</c:v>
                      </c:pt>
                      <c:pt idx="40">
                        <c:v>88831</c:v>
                      </c:pt>
                      <c:pt idx="41">
                        <c:v>91222</c:v>
                      </c:pt>
                      <c:pt idx="42">
                        <c:v>93230</c:v>
                      </c:pt>
                      <c:pt idx="43">
                        <c:v>95654</c:v>
                      </c:pt>
                      <c:pt idx="44">
                        <c:v>98971</c:v>
                      </c:pt>
                      <c:pt idx="45">
                        <c:v>102486</c:v>
                      </c:pt>
                      <c:pt idx="46">
                        <c:v>105725</c:v>
                      </c:pt>
                      <c:pt idx="47">
                        <c:v>108742</c:v>
                      </c:pt>
                      <c:pt idx="48">
                        <c:v>112216</c:v>
                      </c:pt>
                      <c:pt idx="49">
                        <c:v>117398</c:v>
                      </c:pt>
                      <c:pt idx="50">
                        <c:v>119332</c:v>
                      </c:pt>
                      <c:pt idx="51">
                        <c:v>130183</c:v>
                      </c:pt>
                      <c:pt idx="52">
                        <c:v>137958</c:v>
                      </c:pt>
                      <c:pt idx="53">
                        <c:v>145084</c:v>
                      </c:pt>
                      <c:pt idx="54">
                        <c:v>154942</c:v>
                      </c:pt>
                      <c:pt idx="55">
                        <c:v>165239</c:v>
                      </c:pt>
                      <c:pt idx="56">
                        <c:v>177695</c:v>
                      </c:pt>
                      <c:pt idx="57">
                        <c:v>195476</c:v>
                      </c:pt>
                      <c:pt idx="58">
                        <c:v>216321</c:v>
                      </c:pt>
                      <c:pt idx="59">
                        <c:v>236299</c:v>
                      </c:pt>
                      <c:pt idx="60">
                        <c:v>256942</c:v>
                      </c:pt>
                      <c:pt idx="61">
                        <c:v>283657</c:v>
                      </c:pt>
                      <c:pt idx="62">
                        <c:v>309872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1B1-4672-85C3-469AF56E7BC9}"/>
                  </c:ext>
                </c:extLst>
              </c15:ser>
            </c15:filteredLineSeries>
          </c:ext>
        </c:extLst>
      </c:lineChart>
      <c:dateAx>
        <c:axId val="217815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1281602840097074"/>
              <c:y val="0.9707389948323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51375"/>
        <c:crosses val="autoZero"/>
        <c:auto val="1"/>
        <c:lblOffset val="100"/>
        <c:baseTimeUnit val="days"/>
      </c:dateAx>
      <c:valAx>
        <c:axId val="216951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0104546050526E-3"/>
              <c:y val="0.47511381247618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8151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3340791327950583E-3"/>
          <c:y val="1.2553905664119265E-2"/>
          <c:w val="0.98473098275937765"/>
          <c:h val="3.53170274794007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29807208598503E-2"/>
          <c:y val="7.5846647357028243E-2"/>
          <c:w val="0.90151193694151543"/>
          <c:h val="0.82296210468358955"/>
        </c:manualLayout>
      </c:layout>
      <c:lineChart>
        <c:grouping val="standard"/>
        <c:varyColors val="0"/>
        <c:ser>
          <c:idx val="0"/>
          <c:order val="0"/>
          <c:tx>
            <c:strRef>
              <c:f>'Per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Totals'!$B$2:$B$64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  <c:pt idx="60">
                  <c:v>1549</c:v>
                </c:pt>
                <c:pt idx="61">
                  <c:v>1682</c:v>
                </c:pt>
                <c:pt idx="62">
                  <c:v>2044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0E3-40C5-BAAB-5F386A511630}"/>
            </c:ext>
          </c:extLst>
        </c:ser>
        <c:ser>
          <c:idx val="1"/>
          <c:order val="1"/>
          <c:tx>
            <c:strRef>
              <c:f>'Per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Totals'!$C$2:$C$64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11</c:v>
                </c:pt>
                <c:pt idx="36">
                  <c:v>13</c:v>
                </c:pt>
                <c:pt idx="37">
                  <c:v>14</c:v>
                </c:pt>
                <c:pt idx="38">
                  <c:v>20</c:v>
                </c:pt>
                <c:pt idx="39">
                  <c:v>24</c:v>
                </c:pt>
                <c:pt idx="40">
                  <c:v>27</c:v>
                </c:pt>
                <c:pt idx="41">
                  <c:v>30</c:v>
                </c:pt>
                <c:pt idx="42">
                  <c:v>33</c:v>
                </c:pt>
                <c:pt idx="43">
                  <c:v>37</c:v>
                </c:pt>
                <c:pt idx="44">
                  <c:v>49</c:v>
                </c:pt>
                <c:pt idx="45">
                  <c:v>54</c:v>
                </c:pt>
                <c:pt idx="46">
                  <c:v>64</c:v>
                </c:pt>
                <c:pt idx="47">
                  <c:v>77</c:v>
                </c:pt>
                <c:pt idx="48">
                  <c:v>79</c:v>
                </c:pt>
                <c:pt idx="49">
                  <c:v>108</c:v>
                </c:pt>
                <c:pt idx="50">
                  <c:v>117</c:v>
                </c:pt>
                <c:pt idx="51">
                  <c:v>193</c:v>
                </c:pt>
                <c:pt idx="52">
                  <c:v>198</c:v>
                </c:pt>
                <c:pt idx="53">
                  <c:v>252</c:v>
                </c:pt>
                <c:pt idx="54">
                  <c:v>415</c:v>
                </c:pt>
                <c:pt idx="55">
                  <c:v>478</c:v>
                </c:pt>
                <c:pt idx="56">
                  <c:v>657</c:v>
                </c:pt>
                <c:pt idx="57">
                  <c:v>800</c:v>
                </c:pt>
                <c:pt idx="58">
                  <c:v>943</c:v>
                </c:pt>
                <c:pt idx="59">
                  <c:v>1277</c:v>
                </c:pt>
                <c:pt idx="60">
                  <c:v>1469</c:v>
                </c:pt>
                <c:pt idx="61">
                  <c:v>2088</c:v>
                </c:pt>
                <c:pt idx="62">
                  <c:v>2790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0E3-40C5-BAAB-5F386A511630}"/>
            </c:ext>
          </c:extLst>
        </c:ser>
        <c:ser>
          <c:idx val="2"/>
          <c:order val="2"/>
          <c:tx>
            <c:strRef>
              <c:f>'Per Country Totals'!$D$1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Totals'!$D$2:$D$64</c:f>
              <c:numCache>
                <c:formatCode>General</c:formatCode>
                <c:ptCount val="63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0E3-40C5-BAAB-5F386A511630}"/>
            </c:ext>
          </c:extLst>
        </c:ser>
        <c:ser>
          <c:idx val="3"/>
          <c:order val="3"/>
          <c:tx>
            <c:strRef>
              <c:f>'Per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Totals'!$E$2:$E$64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6</c:v>
                </c:pt>
                <c:pt idx="42">
                  <c:v>11</c:v>
                </c:pt>
                <c:pt idx="43">
                  <c:v>11</c:v>
                </c:pt>
                <c:pt idx="44">
                  <c:v>24</c:v>
                </c:pt>
                <c:pt idx="45">
                  <c:v>24</c:v>
                </c:pt>
                <c:pt idx="46">
                  <c:v>37</c:v>
                </c:pt>
                <c:pt idx="47">
                  <c:v>92</c:v>
                </c:pt>
                <c:pt idx="48">
                  <c:v>264</c:v>
                </c:pt>
                <c:pt idx="49">
                  <c:v>444</c:v>
                </c:pt>
                <c:pt idx="50">
                  <c:v>617</c:v>
                </c:pt>
                <c:pt idx="51">
                  <c:v>804</c:v>
                </c:pt>
                <c:pt idx="52">
                  <c:v>836</c:v>
                </c:pt>
                <c:pt idx="53">
                  <c:v>875</c:v>
                </c:pt>
                <c:pt idx="54">
                  <c:v>933</c:v>
                </c:pt>
                <c:pt idx="55">
                  <c:v>1025</c:v>
                </c:pt>
                <c:pt idx="56">
                  <c:v>1116</c:v>
                </c:pt>
                <c:pt idx="57">
                  <c:v>1225</c:v>
                </c:pt>
                <c:pt idx="58">
                  <c:v>1337</c:v>
                </c:pt>
                <c:pt idx="59">
                  <c:v>1420</c:v>
                </c:pt>
                <c:pt idx="60">
                  <c:v>1514</c:v>
                </c:pt>
                <c:pt idx="61">
                  <c:v>1572</c:v>
                </c:pt>
                <c:pt idx="62">
                  <c:v>1718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0E3-40C5-BAAB-5F386A511630}"/>
            </c:ext>
          </c:extLst>
        </c:ser>
        <c:ser>
          <c:idx val="4"/>
          <c:order val="4"/>
          <c:tx>
            <c:strRef>
              <c:f>'Per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Totals'!$F$2:$F$64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18</c:v>
                </c:pt>
                <c:pt idx="36">
                  <c:v>38</c:v>
                </c:pt>
                <c:pt idx="37">
                  <c:v>57</c:v>
                </c:pt>
                <c:pt idx="38">
                  <c:v>100</c:v>
                </c:pt>
                <c:pt idx="39">
                  <c:v>130</c:v>
                </c:pt>
                <c:pt idx="40">
                  <c:v>191</c:v>
                </c:pt>
                <c:pt idx="41">
                  <c:v>204</c:v>
                </c:pt>
                <c:pt idx="42">
                  <c:v>288</c:v>
                </c:pt>
                <c:pt idx="43">
                  <c:v>380</c:v>
                </c:pt>
                <c:pt idx="44">
                  <c:v>656</c:v>
                </c:pt>
                <c:pt idx="45">
                  <c:v>959</c:v>
                </c:pt>
                <c:pt idx="46">
                  <c:v>1136</c:v>
                </c:pt>
                <c:pt idx="47">
                  <c:v>1219</c:v>
                </c:pt>
                <c:pt idx="48">
                  <c:v>1794</c:v>
                </c:pt>
                <c:pt idx="49">
                  <c:v>2293</c:v>
                </c:pt>
                <c:pt idx="50">
                  <c:v>2293</c:v>
                </c:pt>
                <c:pt idx="51">
                  <c:v>3681</c:v>
                </c:pt>
                <c:pt idx="52">
                  <c:v>4496</c:v>
                </c:pt>
                <c:pt idx="53">
                  <c:v>4532</c:v>
                </c:pt>
                <c:pt idx="54">
                  <c:v>6683</c:v>
                </c:pt>
                <c:pt idx="55">
                  <c:v>7715</c:v>
                </c:pt>
                <c:pt idx="56">
                  <c:v>9124</c:v>
                </c:pt>
                <c:pt idx="57">
                  <c:v>10970</c:v>
                </c:pt>
                <c:pt idx="58">
                  <c:v>12758</c:v>
                </c:pt>
                <c:pt idx="59">
                  <c:v>14463</c:v>
                </c:pt>
                <c:pt idx="60">
                  <c:v>16243</c:v>
                </c:pt>
                <c:pt idx="61">
                  <c:v>20123</c:v>
                </c:pt>
                <c:pt idx="62">
                  <c:v>22622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0E3-40C5-BAAB-5F386A511630}"/>
            </c:ext>
          </c:extLst>
        </c:ser>
        <c:ser>
          <c:idx val="5"/>
          <c:order val="5"/>
          <c:tx>
            <c:strRef>
              <c:f>'Per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Totals'!$G$2:$G$64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  <c:pt idx="61">
                  <c:v>29056</c:v>
                </c:pt>
                <c:pt idx="62">
                  <c:v>32986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0E3-40C5-BAAB-5F386A511630}"/>
            </c:ext>
          </c:extLst>
        </c:ser>
        <c:ser>
          <c:idx val="6"/>
          <c:order val="6"/>
          <c:tx>
            <c:strRef>
              <c:f>'Per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Totals'!$H$2:$H$64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5</c:v>
                </c:pt>
                <c:pt idx="30">
                  <c:v>18</c:v>
                </c:pt>
                <c:pt idx="31">
                  <c:v>28</c:v>
                </c:pt>
                <c:pt idx="32">
                  <c:v>43</c:v>
                </c:pt>
                <c:pt idx="33">
                  <c:v>61</c:v>
                </c:pt>
                <c:pt idx="34">
                  <c:v>95</c:v>
                </c:pt>
                <c:pt idx="35">
                  <c:v>139</c:v>
                </c:pt>
                <c:pt idx="36">
                  <c:v>245</c:v>
                </c:pt>
                <c:pt idx="37">
                  <c:v>388</c:v>
                </c:pt>
                <c:pt idx="38">
                  <c:v>593</c:v>
                </c:pt>
                <c:pt idx="39">
                  <c:v>978</c:v>
                </c:pt>
                <c:pt idx="40">
                  <c:v>1501</c:v>
                </c:pt>
                <c:pt idx="41">
                  <c:v>2336</c:v>
                </c:pt>
                <c:pt idx="42">
                  <c:v>2922</c:v>
                </c:pt>
                <c:pt idx="43">
                  <c:v>3513</c:v>
                </c:pt>
                <c:pt idx="44">
                  <c:v>4747</c:v>
                </c:pt>
                <c:pt idx="45">
                  <c:v>5823</c:v>
                </c:pt>
                <c:pt idx="46">
                  <c:v>6566</c:v>
                </c:pt>
                <c:pt idx="47">
                  <c:v>7161</c:v>
                </c:pt>
                <c:pt idx="48">
                  <c:v>8042</c:v>
                </c:pt>
                <c:pt idx="49">
                  <c:v>9000</c:v>
                </c:pt>
                <c:pt idx="50">
                  <c:v>10075</c:v>
                </c:pt>
                <c:pt idx="51">
                  <c:v>11364</c:v>
                </c:pt>
                <c:pt idx="52">
                  <c:v>12729</c:v>
                </c:pt>
                <c:pt idx="53">
                  <c:v>13938</c:v>
                </c:pt>
                <c:pt idx="54">
                  <c:v>14991</c:v>
                </c:pt>
                <c:pt idx="55">
                  <c:v>16169</c:v>
                </c:pt>
                <c:pt idx="56">
                  <c:v>17361</c:v>
                </c:pt>
                <c:pt idx="57">
                  <c:v>18407</c:v>
                </c:pt>
                <c:pt idx="58">
                  <c:v>19644</c:v>
                </c:pt>
                <c:pt idx="59">
                  <c:v>20610</c:v>
                </c:pt>
                <c:pt idx="60">
                  <c:v>21638</c:v>
                </c:pt>
                <c:pt idx="61">
                  <c:v>23049</c:v>
                </c:pt>
                <c:pt idx="62">
                  <c:v>24811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0E3-40C5-BAAB-5F386A511630}"/>
            </c:ext>
          </c:extLst>
        </c:ser>
        <c:ser>
          <c:idx val="7"/>
          <c:order val="7"/>
          <c:tx>
            <c:strRef>
              <c:f>'Per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Totals'!$I$2:$I$64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  <c:pt idx="62">
                  <c:v>69176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0E3-40C5-BAAB-5F386A511630}"/>
            </c:ext>
          </c:extLst>
        </c:ser>
        <c:ser>
          <c:idx val="8"/>
          <c:order val="8"/>
          <c:tx>
            <c:strRef>
              <c:f>'Per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Totals'!$J$2:$J$64</c:f>
              <c:numCache>
                <c:formatCode>General</c:formatCode>
                <c:ptCount val="6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7</c:v>
                </c:pt>
                <c:pt idx="7">
                  <c:v>7</c:v>
                </c:pt>
                <c:pt idx="8">
                  <c:v>11</c:v>
                </c:pt>
                <c:pt idx="9">
                  <c:v>15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28</c:v>
                </c:pt>
                <c:pt idx="22">
                  <c:v>28</c:v>
                </c:pt>
                <c:pt idx="23">
                  <c:v>29</c:v>
                </c:pt>
                <c:pt idx="24">
                  <c:v>43</c:v>
                </c:pt>
                <c:pt idx="25">
                  <c:v>59</c:v>
                </c:pt>
                <c:pt idx="26">
                  <c:v>66</c:v>
                </c:pt>
                <c:pt idx="27">
                  <c:v>74</c:v>
                </c:pt>
                <c:pt idx="28">
                  <c:v>84</c:v>
                </c:pt>
                <c:pt idx="29">
                  <c:v>94</c:v>
                </c:pt>
                <c:pt idx="30">
                  <c:v>105</c:v>
                </c:pt>
                <c:pt idx="31">
                  <c:v>122</c:v>
                </c:pt>
                <c:pt idx="32">
                  <c:v>147</c:v>
                </c:pt>
                <c:pt idx="33">
                  <c:v>159</c:v>
                </c:pt>
                <c:pt idx="34">
                  <c:v>170</c:v>
                </c:pt>
                <c:pt idx="35">
                  <c:v>189</c:v>
                </c:pt>
                <c:pt idx="36">
                  <c:v>214</c:v>
                </c:pt>
                <c:pt idx="37">
                  <c:v>228</c:v>
                </c:pt>
                <c:pt idx="38">
                  <c:v>241</c:v>
                </c:pt>
                <c:pt idx="39">
                  <c:v>256</c:v>
                </c:pt>
                <c:pt idx="40">
                  <c:v>274</c:v>
                </c:pt>
                <c:pt idx="41">
                  <c:v>293</c:v>
                </c:pt>
                <c:pt idx="42">
                  <c:v>331</c:v>
                </c:pt>
                <c:pt idx="43">
                  <c:v>360</c:v>
                </c:pt>
                <c:pt idx="44">
                  <c:v>420</c:v>
                </c:pt>
                <c:pt idx="45">
                  <c:v>461</c:v>
                </c:pt>
                <c:pt idx="46">
                  <c:v>502</c:v>
                </c:pt>
                <c:pt idx="47">
                  <c:v>511</c:v>
                </c:pt>
                <c:pt idx="48">
                  <c:v>581</c:v>
                </c:pt>
                <c:pt idx="49">
                  <c:v>639</c:v>
                </c:pt>
                <c:pt idx="50">
                  <c:v>639</c:v>
                </c:pt>
                <c:pt idx="51">
                  <c:v>701</c:v>
                </c:pt>
                <c:pt idx="52">
                  <c:v>773</c:v>
                </c:pt>
                <c:pt idx="53">
                  <c:v>839</c:v>
                </c:pt>
                <c:pt idx="54">
                  <c:v>839</c:v>
                </c:pt>
                <c:pt idx="55">
                  <c:v>878</c:v>
                </c:pt>
                <c:pt idx="56">
                  <c:v>889</c:v>
                </c:pt>
                <c:pt idx="57">
                  <c:v>924</c:v>
                </c:pt>
                <c:pt idx="58">
                  <c:v>963</c:v>
                </c:pt>
                <c:pt idx="59">
                  <c:v>1007</c:v>
                </c:pt>
                <c:pt idx="60">
                  <c:v>1101</c:v>
                </c:pt>
                <c:pt idx="61">
                  <c:v>1128</c:v>
                </c:pt>
                <c:pt idx="62">
                  <c:v>1193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0E3-40C5-BAAB-5F386A511630}"/>
            </c:ext>
          </c:extLst>
        </c:ser>
        <c:ser>
          <c:idx val="9"/>
          <c:order val="9"/>
          <c:tx>
            <c:strRef>
              <c:f>'Per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Totals'!$K$2:$K$64</c:f>
              <c:numCache>
                <c:formatCode>General</c:formatCode>
                <c:ptCount val="6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  <c:pt idx="60">
                  <c:v>8961</c:v>
                </c:pt>
                <c:pt idx="61">
                  <c:v>8961</c:v>
                </c:pt>
                <c:pt idx="62">
                  <c:v>9037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0E3-40C5-BAAB-5F386A511630}"/>
            </c:ext>
          </c:extLst>
        </c:ser>
        <c:ser>
          <c:idx val="10"/>
          <c:order val="10"/>
          <c:tx>
            <c:strRef>
              <c:f>'Per Country Totals'!$L$1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Totals'!$L$2:$L$64</c:f>
              <c:numCache>
                <c:formatCode>General</c:formatCode>
                <c:ptCount val="6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0E3-40C5-BAAB-5F386A511630}"/>
            </c:ext>
          </c:extLst>
        </c:ser>
        <c:ser>
          <c:idx val="11"/>
          <c:order val="11"/>
          <c:tx>
            <c:strRef>
              <c:f>'Per Country Totals'!$M$1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Totals'!$M$2:$M$64</c:f>
              <c:numCache>
                <c:formatCode>General</c:formatCode>
                <c:ptCount val="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8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15</c:v>
                </c:pt>
                <c:pt idx="37">
                  <c:v>20</c:v>
                </c:pt>
                <c:pt idx="38">
                  <c:v>23</c:v>
                </c:pt>
                <c:pt idx="39">
                  <c:v>36</c:v>
                </c:pt>
                <c:pt idx="40">
                  <c:v>40</c:v>
                </c:pt>
                <c:pt idx="41">
                  <c:v>51</c:v>
                </c:pt>
                <c:pt idx="42">
                  <c:v>86</c:v>
                </c:pt>
                <c:pt idx="43">
                  <c:v>116</c:v>
                </c:pt>
                <c:pt idx="44">
                  <c:v>164</c:v>
                </c:pt>
                <c:pt idx="45">
                  <c:v>207</c:v>
                </c:pt>
                <c:pt idx="46">
                  <c:v>274</c:v>
                </c:pt>
                <c:pt idx="47">
                  <c:v>322</c:v>
                </c:pt>
                <c:pt idx="48">
                  <c:v>384</c:v>
                </c:pt>
                <c:pt idx="49">
                  <c:v>459</c:v>
                </c:pt>
                <c:pt idx="50">
                  <c:v>459</c:v>
                </c:pt>
                <c:pt idx="51">
                  <c:v>802</c:v>
                </c:pt>
                <c:pt idx="52">
                  <c:v>1144</c:v>
                </c:pt>
                <c:pt idx="53">
                  <c:v>1145</c:v>
                </c:pt>
                <c:pt idx="54">
                  <c:v>1551</c:v>
                </c:pt>
                <c:pt idx="55">
                  <c:v>1960</c:v>
                </c:pt>
                <c:pt idx="56">
                  <c:v>2642</c:v>
                </c:pt>
                <c:pt idx="57">
                  <c:v>2716</c:v>
                </c:pt>
                <c:pt idx="58">
                  <c:v>4014</c:v>
                </c:pt>
                <c:pt idx="59">
                  <c:v>5067</c:v>
                </c:pt>
                <c:pt idx="60">
                  <c:v>5745</c:v>
                </c:pt>
                <c:pt idx="61">
                  <c:v>6726</c:v>
                </c:pt>
                <c:pt idx="62">
                  <c:v>8164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0E3-40C5-BAAB-5F386A511630}"/>
            </c:ext>
          </c:extLst>
        </c:ser>
        <c:ser>
          <c:idx val="12"/>
          <c:order val="12"/>
          <c:tx>
            <c:strRef>
              <c:f>'Per Country Totals'!$N$1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Totals'!$N$2:$N$64</c:f>
              <c:numCache>
                <c:formatCode>General</c:formatCode>
                <c:ptCount val="63"/>
                <c:pt idx="0">
                  <c:v>552</c:v>
                </c:pt>
                <c:pt idx="1">
                  <c:v>647</c:v>
                </c:pt>
                <c:pt idx="2">
                  <c:v>928</c:v>
                </c:pt>
                <c:pt idx="3">
                  <c:v>1415</c:v>
                </c:pt>
                <c:pt idx="4">
                  <c:v>2095</c:v>
                </c:pt>
                <c:pt idx="5">
                  <c:v>2900</c:v>
                </c:pt>
                <c:pt idx="6">
                  <c:v>5540</c:v>
                </c:pt>
                <c:pt idx="7">
                  <c:v>6120</c:v>
                </c:pt>
                <c:pt idx="8">
                  <c:v>8181</c:v>
                </c:pt>
                <c:pt idx="9">
                  <c:v>9862</c:v>
                </c:pt>
                <c:pt idx="10">
                  <c:v>11965</c:v>
                </c:pt>
                <c:pt idx="11">
                  <c:v>16709</c:v>
                </c:pt>
                <c:pt idx="12">
                  <c:v>19800</c:v>
                </c:pt>
                <c:pt idx="13">
                  <c:v>23795</c:v>
                </c:pt>
                <c:pt idx="14">
                  <c:v>27532</c:v>
                </c:pt>
                <c:pt idx="15">
                  <c:v>30684</c:v>
                </c:pt>
                <c:pt idx="16">
                  <c:v>34217</c:v>
                </c:pt>
                <c:pt idx="17">
                  <c:v>36926</c:v>
                </c:pt>
                <c:pt idx="18">
                  <c:v>39944</c:v>
                </c:pt>
                <c:pt idx="19">
                  <c:v>42476</c:v>
                </c:pt>
                <c:pt idx="20">
                  <c:v>44512</c:v>
                </c:pt>
                <c:pt idx="21">
                  <c:v>44888</c:v>
                </c:pt>
                <c:pt idx="22">
                  <c:v>60025</c:v>
                </c:pt>
                <c:pt idx="23">
                  <c:v>66489</c:v>
                </c:pt>
                <c:pt idx="24">
                  <c:v>68559</c:v>
                </c:pt>
                <c:pt idx="25">
                  <c:v>70676</c:v>
                </c:pt>
                <c:pt idx="26">
                  <c:v>72606</c:v>
                </c:pt>
                <c:pt idx="27">
                  <c:v>74392</c:v>
                </c:pt>
                <c:pt idx="28">
                  <c:v>74812</c:v>
                </c:pt>
                <c:pt idx="29">
                  <c:v>75356</c:v>
                </c:pt>
                <c:pt idx="30">
                  <c:v>75973</c:v>
                </c:pt>
                <c:pt idx="31">
                  <c:v>77722</c:v>
                </c:pt>
                <c:pt idx="32">
                  <c:v>78045</c:v>
                </c:pt>
                <c:pt idx="33">
                  <c:v>78640</c:v>
                </c:pt>
                <c:pt idx="34">
                  <c:v>79439</c:v>
                </c:pt>
                <c:pt idx="35">
                  <c:v>80349</c:v>
                </c:pt>
                <c:pt idx="36">
                  <c:v>81666</c:v>
                </c:pt>
                <c:pt idx="37">
                  <c:v>82984</c:v>
                </c:pt>
                <c:pt idx="38">
                  <c:v>84786</c:v>
                </c:pt>
                <c:pt idx="39">
                  <c:v>87021</c:v>
                </c:pt>
                <c:pt idx="40">
                  <c:v>88831</c:v>
                </c:pt>
                <c:pt idx="41">
                  <c:v>91222</c:v>
                </c:pt>
                <c:pt idx="42">
                  <c:v>93230</c:v>
                </c:pt>
                <c:pt idx="43">
                  <c:v>95654</c:v>
                </c:pt>
                <c:pt idx="44">
                  <c:v>98971</c:v>
                </c:pt>
                <c:pt idx="45">
                  <c:v>102486</c:v>
                </c:pt>
                <c:pt idx="46">
                  <c:v>105725</c:v>
                </c:pt>
                <c:pt idx="47">
                  <c:v>108742</c:v>
                </c:pt>
                <c:pt idx="48">
                  <c:v>112216</c:v>
                </c:pt>
                <c:pt idx="49">
                  <c:v>117398</c:v>
                </c:pt>
                <c:pt idx="50">
                  <c:v>119332</c:v>
                </c:pt>
                <c:pt idx="51">
                  <c:v>130183</c:v>
                </c:pt>
                <c:pt idx="52">
                  <c:v>137958</c:v>
                </c:pt>
                <c:pt idx="53">
                  <c:v>145084</c:v>
                </c:pt>
                <c:pt idx="54">
                  <c:v>154942</c:v>
                </c:pt>
                <c:pt idx="55">
                  <c:v>165239</c:v>
                </c:pt>
                <c:pt idx="56">
                  <c:v>177695</c:v>
                </c:pt>
                <c:pt idx="57">
                  <c:v>195476</c:v>
                </c:pt>
                <c:pt idx="58">
                  <c:v>216321</c:v>
                </c:pt>
                <c:pt idx="59">
                  <c:v>236299</c:v>
                </c:pt>
                <c:pt idx="60">
                  <c:v>256942</c:v>
                </c:pt>
                <c:pt idx="61">
                  <c:v>283657</c:v>
                </c:pt>
                <c:pt idx="62">
                  <c:v>309872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D0-4716-8B84-65A9AC6F6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815183"/>
        <c:axId val="216951375"/>
        <c:extLst/>
      </c:lineChart>
      <c:dateAx>
        <c:axId val="217815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1281602840097074"/>
              <c:y val="0.9707389948323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51375"/>
        <c:crosses val="autoZero"/>
        <c:auto val="1"/>
        <c:lblOffset val="100"/>
        <c:baseTimeUnit val="days"/>
      </c:dateAx>
      <c:valAx>
        <c:axId val="21695137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0104546050526E-3"/>
              <c:y val="0.47511381247618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8151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4930764615187281E-3"/>
          <c:y val="1.0460935377027898E-2"/>
          <c:w val="0.99614029409004856"/>
          <c:h val="4.8659169443258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7.380214809919218E-2"/>
          <c:w val="0.91801424445646795"/>
          <c:h val="0.82703467453664492"/>
        </c:manualLayout>
      </c:layout>
      <c:lineChart>
        <c:grouping val="standard"/>
        <c:varyColors val="0"/>
        <c:ser>
          <c:idx val="0"/>
          <c:order val="0"/>
          <c:tx>
            <c:strRef>
              <c:f>'Australia Per State'!$B$1</c:f>
              <c:strCache>
                <c:ptCount val="1"/>
                <c:pt idx="0">
                  <c:v>Australian Capital Territory</c:v>
                </c:pt>
              </c:strCache>
            </c:strRef>
          </c:tx>
          <c:spPr>
            <a:ln w="12700" cap="rnd">
              <a:solidFill>
                <a:srgbClr val="C9A5F7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C9A5F7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State'!$A$2:$A$67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State'!$B$2:$B$67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9</c:v>
                </c:pt>
                <c:pt idx="15">
                  <c:v>19</c:v>
                </c:pt>
                <c:pt idx="16">
                  <c:v>32</c:v>
                </c:pt>
                <c:pt idx="17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CE-4454-AF2F-8D1E2A8257BD}"/>
            </c:ext>
          </c:extLst>
        </c:ser>
        <c:ser>
          <c:idx val="1"/>
          <c:order val="1"/>
          <c:tx>
            <c:strRef>
              <c:f>'Australia Per State'!$C$1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12700" cap="rnd">
              <a:solidFill>
                <a:srgbClr val="8FB80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8FB8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State'!$A$2:$A$67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State'!$C$2:$C$67</c:f>
              <c:numCache>
                <c:formatCode>General</c:formatCode>
                <c:ptCount val="25"/>
                <c:pt idx="0">
                  <c:v>28</c:v>
                </c:pt>
                <c:pt idx="1">
                  <c:v>38</c:v>
                </c:pt>
                <c:pt idx="2">
                  <c:v>48</c:v>
                </c:pt>
                <c:pt idx="3">
                  <c:v>55</c:v>
                </c:pt>
                <c:pt idx="4">
                  <c:v>65</c:v>
                </c:pt>
                <c:pt idx="5">
                  <c:v>65</c:v>
                </c:pt>
                <c:pt idx="6">
                  <c:v>92</c:v>
                </c:pt>
                <c:pt idx="7">
                  <c:v>112</c:v>
                </c:pt>
                <c:pt idx="8">
                  <c:v>134</c:v>
                </c:pt>
                <c:pt idx="9">
                  <c:v>171</c:v>
                </c:pt>
                <c:pt idx="10">
                  <c:v>210</c:v>
                </c:pt>
                <c:pt idx="11">
                  <c:v>267</c:v>
                </c:pt>
                <c:pt idx="12">
                  <c:v>307</c:v>
                </c:pt>
                <c:pt idx="13">
                  <c:v>353</c:v>
                </c:pt>
                <c:pt idx="14">
                  <c:v>436</c:v>
                </c:pt>
                <c:pt idx="15">
                  <c:v>669</c:v>
                </c:pt>
                <c:pt idx="16">
                  <c:v>669</c:v>
                </c:pt>
                <c:pt idx="17">
                  <c:v>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CE-4454-AF2F-8D1E2A8257BD}"/>
            </c:ext>
          </c:extLst>
        </c:ser>
        <c:ser>
          <c:idx val="2"/>
          <c:order val="2"/>
          <c:tx>
            <c:strRef>
              <c:f>'Australia Per State'!$D$1</c:f>
              <c:strCache>
                <c:ptCount val="1"/>
                <c:pt idx="0">
                  <c:v>Northern Territory</c:v>
                </c:pt>
              </c:strCache>
            </c:strRef>
          </c:tx>
          <c:spPr>
            <a:ln w="12700" cap="rnd">
              <a:solidFill>
                <a:srgbClr val="3174FA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3174FA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State'!$A$2:$A$67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State'!$D$2:$D$67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5</c:v>
                </c:pt>
                <c:pt idx="16">
                  <c:v>5</c:v>
                </c:pt>
                <c:pt idx="17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CE-4454-AF2F-8D1E2A8257BD}"/>
            </c:ext>
          </c:extLst>
        </c:ser>
        <c:ser>
          <c:idx val="3"/>
          <c:order val="3"/>
          <c:tx>
            <c:strRef>
              <c:f>'Australia Per State'!$E$1</c:f>
              <c:strCache>
                <c:ptCount val="1"/>
                <c:pt idx="0">
                  <c:v>Queensland</c:v>
                </c:pt>
              </c:strCache>
            </c:strRef>
          </c:tx>
          <c:spPr>
            <a:ln w="12700" cap="rnd">
              <a:solidFill>
                <a:srgbClr val="842A62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842A6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State'!$A$2:$A$67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State'!$E$2:$E$67</c:f>
              <c:numCache>
                <c:formatCode>General</c:formatCode>
                <c:ptCount val="25"/>
                <c:pt idx="0">
                  <c:v>13</c:v>
                </c:pt>
                <c:pt idx="1">
                  <c:v>15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20</c:v>
                </c:pt>
                <c:pt idx="6">
                  <c:v>35</c:v>
                </c:pt>
                <c:pt idx="7">
                  <c:v>46</c:v>
                </c:pt>
                <c:pt idx="8">
                  <c:v>61</c:v>
                </c:pt>
                <c:pt idx="9">
                  <c:v>68</c:v>
                </c:pt>
                <c:pt idx="10">
                  <c:v>78</c:v>
                </c:pt>
                <c:pt idx="11">
                  <c:v>94</c:v>
                </c:pt>
                <c:pt idx="12">
                  <c:v>144</c:v>
                </c:pt>
                <c:pt idx="13">
                  <c:v>184</c:v>
                </c:pt>
                <c:pt idx="14">
                  <c:v>221</c:v>
                </c:pt>
                <c:pt idx="15">
                  <c:v>259</c:v>
                </c:pt>
                <c:pt idx="16">
                  <c:v>319</c:v>
                </c:pt>
                <c:pt idx="17">
                  <c:v>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CE-4454-AF2F-8D1E2A8257BD}"/>
            </c:ext>
          </c:extLst>
        </c:ser>
        <c:ser>
          <c:idx val="4"/>
          <c:order val="4"/>
          <c:tx>
            <c:strRef>
              <c:f>'Australia Per State'!$F$1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12700" cap="rnd">
              <a:solidFill>
                <a:srgbClr val="F20695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F20695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State'!$A$2:$A$67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State'!$F$2:$F$67</c:f>
              <c:numCache>
                <c:formatCode>General</c:formatCode>
                <c:ptCount val="2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16</c:v>
                </c:pt>
                <c:pt idx="7">
                  <c:v>19</c:v>
                </c:pt>
                <c:pt idx="8">
                  <c:v>20</c:v>
                </c:pt>
                <c:pt idx="9">
                  <c:v>29</c:v>
                </c:pt>
                <c:pt idx="10">
                  <c:v>29</c:v>
                </c:pt>
                <c:pt idx="11">
                  <c:v>37</c:v>
                </c:pt>
                <c:pt idx="12">
                  <c:v>42</c:v>
                </c:pt>
                <c:pt idx="13">
                  <c:v>50</c:v>
                </c:pt>
                <c:pt idx="14">
                  <c:v>67</c:v>
                </c:pt>
                <c:pt idx="15">
                  <c:v>100</c:v>
                </c:pt>
                <c:pt idx="16">
                  <c:v>134</c:v>
                </c:pt>
                <c:pt idx="17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CE-4454-AF2F-8D1E2A8257BD}"/>
            </c:ext>
          </c:extLst>
        </c:ser>
        <c:ser>
          <c:idx val="5"/>
          <c:order val="5"/>
          <c:tx>
            <c:strRef>
              <c:f>'Australia Per State'!$G$1</c:f>
              <c:strCache>
                <c:ptCount val="1"/>
                <c:pt idx="0">
                  <c:v>Tasmania</c:v>
                </c:pt>
              </c:strCache>
            </c:strRef>
          </c:tx>
          <c:spPr>
            <a:ln w="12700" cap="rnd">
              <a:solidFill>
                <a:srgbClr val="00A23B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A23B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State'!$A$2:$A$67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State'!$G$2:$G$67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16</c:v>
                </c:pt>
                <c:pt idx="15">
                  <c:v>22</c:v>
                </c:pt>
                <c:pt idx="16">
                  <c:v>28</c:v>
                </c:pt>
                <c:pt idx="17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CE-4454-AF2F-8D1E2A8257BD}"/>
            </c:ext>
          </c:extLst>
        </c:ser>
        <c:ser>
          <c:idx val="6"/>
          <c:order val="6"/>
          <c:tx>
            <c:strRef>
              <c:f>'Australia Per State'!$H$1</c:f>
              <c:strCache>
                <c:ptCount val="1"/>
                <c:pt idx="0">
                  <c:v>Victoria</c:v>
                </c:pt>
              </c:strCache>
            </c:strRef>
          </c:tx>
          <c:spPr>
            <a:ln w="12700" cap="rnd">
              <a:solidFill>
                <a:srgbClr val="2010D2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2010D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State'!$A$2:$A$67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State'!$H$2:$H$67</c:f>
              <c:numCache>
                <c:formatCode>General</c:formatCode>
                <c:ptCount val="25"/>
                <c:pt idx="0">
                  <c:v>11</c:v>
                </c:pt>
                <c:pt idx="1">
                  <c:v>11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21</c:v>
                </c:pt>
                <c:pt idx="6">
                  <c:v>36</c:v>
                </c:pt>
                <c:pt idx="7">
                  <c:v>49</c:v>
                </c:pt>
                <c:pt idx="8">
                  <c:v>57</c:v>
                </c:pt>
                <c:pt idx="9">
                  <c:v>71</c:v>
                </c:pt>
                <c:pt idx="10">
                  <c:v>94</c:v>
                </c:pt>
                <c:pt idx="11">
                  <c:v>121</c:v>
                </c:pt>
                <c:pt idx="12">
                  <c:v>121</c:v>
                </c:pt>
                <c:pt idx="13">
                  <c:v>121</c:v>
                </c:pt>
                <c:pt idx="14">
                  <c:v>229</c:v>
                </c:pt>
                <c:pt idx="15">
                  <c:v>355</c:v>
                </c:pt>
                <c:pt idx="16">
                  <c:v>355</c:v>
                </c:pt>
                <c:pt idx="17">
                  <c:v>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8CE-4454-AF2F-8D1E2A8257BD}"/>
            </c:ext>
          </c:extLst>
        </c:ser>
        <c:ser>
          <c:idx val="7"/>
          <c:order val="7"/>
          <c:tx>
            <c:strRef>
              <c:f>'Australia Per State'!$I$1</c:f>
              <c:strCache>
                <c:ptCount val="1"/>
                <c:pt idx="0">
                  <c:v>Western Australia</c:v>
                </c:pt>
              </c:strCache>
            </c:strRef>
          </c:tx>
          <c:spPr>
            <a:ln w="12700" cap="rnd">
              <a:solidFill>
                <a:srgbClr val="FEBF00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FEBF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State'!$A$2:$A$67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State'!$I$2:$I$67</c:f>
              <c:numCache>
                <c:formatCode>General</c:formatCode>
                <c:ptCount val="25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9</c:v>
                </c:pt>
                <c:pt idx="5">
                  <c:v>9</c:v>
                </c:pt>
                <c:pt idx="6">
                  <c:v>14</c:v>
                </c:pt>
                <c:pt idx="7">
                  <c:v>17</c:v>
                </c:pt>
                <c:pt idx="8">
                  <c:v>17</c:v>
                </c:pt>
                <c:pt idx="9">
                  <c:v>28</c:v>
                </c:pt>
                <c:pt idx="10">
                  <c:v>31</c:v>
                </c:pt>
                <c:pt idx="11">
                  <c:v>35</c:v>
                </c:pt>
                <c:pt idx="12">
                  <c:v>52</c:v>
                </c:pt>
                <c:pt idx="13">
                  <c:v>64</c:v>
                </c:pt>
                <c:pt idx="14">
                  <c:v>90</c:v>
                </c:pt>
                <c:pt idx="15">
                  <c:v>120</c:v>
                </c:pt>
                <c:pt idx="16">
                  <c:v>140</c:v>
                </c:pt>
                <c:pt idx="17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8CE-4454-AF2F-8D1E2A8257BD}"/>
            </c:ext>
          </c:extLst>
        </c:ser>
        <c:ser>
          <c:idx val="8"/>
          <c:order val="8"/>
          <c:tx>
            <c:strRef>
              <c:f>'Australia Per State'!$J$1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trendline>
            <c:spPr>
              <a:ln w="15875" cap="flat">
                <a:solidFill>
                  <a:schemeClr val="accent3">
                    <a:lumMod val="60000"/>
                  </a:schemeClr>
                </a:solidFill>
                <a:prstDash val="sysDash"/>
                <a:round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0.14778558681561996"/>
                  <c:y val="5.725994353270137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'Australia Per State'!$A$2:$A$67</c:f>
              <c:numCache>
                <c:formatCode>m/d/yyyy</c:formatCode>
                <c:ptCount val="25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43918</c:v>
                </c:pt>
                <c:pt idx="22">
                  <c:v>43919</c:v>
                </c:pt>
                <c:pt idx="23">
                  <c:v>43920</c:v>
                </c:pt>
                <c:pt idx="24">
                  <c:v>43921</c:v>
                </c:pt>
              </c:numCache>
            </c:numRef>
          </c:cat>
          <c:val>
            <c:numRef>
              <c:f>'Australia Per State'!$J$2:$J$67</c:f>
              <c:numCache>
                <c:formatCode>General</c:formatCode>
                <c:ptCount val="25"/>
                <c:pt idx="0">
                  <c:v>63</c:v>
                </c:pt>
                <c:pt idx="1">
                  <c:v>76</c:v>
                </c:pt>
                <c:pt idx="2">
                  <c:v>91</c:v>
                </c:pt>
                <c:pt idx="3">
                  <c:v>107</c:v>
                </c:pt>
                <c:pt idx="4">
                  <c:v>128</c:v>
                </c:pt>
                <c:pt idx="5">
                  <c:v>128</c:v>
                </c:pt>
                <c:pt idx="6">
                  <c:v>200</c:v>
                </c:pt>
                <c:pt idx="7">
                  <c:v>250</c:v>
                </c:pt>
                <c:pt idx="8">
                  <c:v>297</c:v>
                </c:pt>
                <c:pt idx="9">
                  <c:v>377</c:v>
                </c:pt>
                <c:pt idx="10">
                  <c:v>452</c:v>
                </c:pt>
                <c:pt idx="11">
                  <c:v>568</c:v>
                </c:pt>
                <c:pt idx="12">
                  <c:v>681</c:v>
                </c:pt>
                <c:pt idx="13">
                  <c:v>791</c:v>
                </c:pt>
                <c:pt idx="14">
                  <c:v>1071</c:v>
                </c:pt>
                <c:pt idx="15">
                  <c:v>1549</c:v>
                </c:pt>
                <c:pt idx="16">
                  <c:v>1682</c:v>
                </c:pt>
                <c:pt idx="17">
                  <c:v>2044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CE-4454-AF2F-8D1E2A825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6312176"/>
        <c:axId val="1076374560"/>
      </c:lineChart>
      <c:catAx>
        <c:axId val="1026312176"/>
        <c:scaling>
          <c:orientation val="minMax"/>
        </c:scaling>
        <c:delete val="0"/>
        <c:axPos val="b"/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11349058066945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74560"/>
        <c:crosses val="autoZero"/>
        <c:auto val="0"/>
        <c:lblAlgn val="ctr"/>
        <c:lblOffset val="100"/>
        <c:noMultiLvlLbl val="0"/>
      </c:catAx>
      <c:valAx>
        <c:axId val="1076374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0"/>
              <c:y val="0.4344125154284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31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3027890380132382E-2"/>
          <c:y val="1.2561983580069705E-2"/>
          <c:w val="0.90451964917216598"/>
          <c:h val="4.65845170090411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7.380214809919218E-2"/>
          <c:w val="0.91801424445646795"/>
          <c:h val="0.82703467453664492"/>
        </c:manualLayout>
      </c:layout>
      <c:lineChart>
        <c:grouping val="standard"/>
        <c:varyColors val="0"/>
        <c:ser>
          <c:idx val="0"/>
          <c:order val="0"/>
          <c:tx>
            <c:strRef>
              <c:f>'Australia Per State Deaths'!$B$1</c:f>
              <c:strCache>
                <c:ptCount val="1"/>
                <c:pt idx="0">
                  <c:v>Australian Capital Territory</c:v>
                </c:pt>
              </c:strCache>
            </c:strRef>
          </c:tx>
          <c:spPr>
            <a:ln w="12700" cap="rnd">
              <a:solidFill>
                <a:srgbClr val="C9A5F7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C9A5F7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Deaths'!$A$2:$A$32</c:f>
              <c:numCache>
                <c:formatCode>m/d/yyyy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'Australia Per State Deaths'!$B$2:$B$32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B-4A75-A0BE-528544489A9B}"/>
            </c:ext>
          </c:extLst>
        </c:ser>
        <c:ser>
          <c:idx val="1"/>
          <c:order val="1"/>
          <c:tx>
            <c:strRef>
              <c:f>'Australia Per State Deaths'!$C$1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12700" cap="rnd">
              <a:solidFill>
                <a:srgbClr val="8FB80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8FB8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Deaths'!$A$2:$A$32</c:f>
              <c:numCache>
                <c:formatCode>m/d/yyyy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'Australia Per State Deaths'!$C$2:$C$32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B-4A75-A0BE-528544489A9B}"/>
            </c:ext>
          </c:extLst>
        </c:ser>
        <c:ser>
          <c:idx val="2"/>
          <c:order val="2"/>
          <c:tx>
            <c:strRef>
              <c:f>'Australia Per State Deaths'!$D$1</c:f>
              <c:strCache>
                <c:ptCount val="1"/>
                <c:pt idx="0">
                  <c:v>Northern Territory</c:v>
                </c:pt>
              </c:strCache>
            </c:strRef>
          </c:tx>
          <c:spPr>
            <a:ln w="12700" cap="rnd">
              <a:solidFill>
                <a:srgbClr val="3174FA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3174FA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Deaths'!$A$2:$A$32</c:f>
              <c:numCache>
                <c:formatCode>m/d/yyyy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'Australia Per State Deaths'!$D$2:$D$32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B-4A75-A0BE-528544489A9B}"/>
            </c:ext>
          </c:extLst>
        </c:ser>
        <c:ser>
          <c:idx val="3"/>
          <c:order val="3"/>
          <c:tx>
            <c:strRef>
              <c:f>'Australia Per State Deaths'!$E$1</c:f>
              <c:strCache>
                <c:ptCount val="1"/>
                <c:pt idx="0">
                  <c:v>Queensland</c:v>
                </c:pt>
              </c:strCache>
            </c:strRef>
          </c:tx>
          <c:spPr>
            <a:ln w="12700" cap="rnd">
              <a:solidFill>
                <a:srgbClr val="842A62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842A6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Deaths'!$A$2:$A$32</c:f>
              <c:numCache>
                <c:formatCode>m/d/yyyy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'Australia Per State Deaths'!$E$2:$E$32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1B-4A75-A0BE-528544489A9B}"/>
            </c:ext>
          </c:extLst>
        </c:ser>
        <c:ser>
          <c:idx val="4"/>
          <c:order val="4"/>
          <c:tx>
            <c:strRef>
              <c:f>'Australia Per State Deaths'!$F$1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12700" cap="rnd">
              <a:solidFill>
                <a:srgbClr val="F20695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F20695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Deaths'!$A$2:$A$32</c:f>
              <c:numCache>
                <c:formatCode>m/d/yyyy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'Australia Per State Deaths'!$F$2:$F$32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1B-4A75-A0BE-528544489A9B}"/>
            </c:ext>
          </c:extLst>
        </c:ser>
        <c:ser>
          <c:idx val="5"/>
          <c:order val="5"/>
          <c:tx>
            <c:strRef>
              <c:f>'Australia Per State Deaths'!$G$1</c:f>
              <c:strCache>
                <c:ptCount val="1"/>
                <c:pt idx="0">
                  <c:v>Tasmania</c:v>
                </c:pt>
              </c:strCache>
            </c:strRef>
          </c:tx>
          <c:spPr>
            <a:ln w="12700" cap="rnd">
              <a:solidFill>
                <a:srgbClr val="00A23B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A23B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Deaths'!$A$2:$A$32</c:f>
              <c:numCache>
                <c:formatCode>m/d/yyyy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'Australia Per State Deaths'!$G$2:$G$32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1B-4A75-A0BE-528544489A9B}"/>
            </c:ext>
          </c:extLst>
        </c:ser>
        <c:ser>
          <c:idx val="6"/>
          <c:order val="6"/>
          <c:tx>
            <c:strRef>
              <c:f>'Australia Per State Deaths'!$H$1</c:f>
              <c:strCache>
                <c:ptCount val="1"/>
                <c:pt idx="0">
                  <c:v>Victoria</c:v>
                </c:pt>
              </c:strCache>
            </c:strRef>
          </c:tx>
          <c:spPr>
            <a:ln w="12700" cap="rnd">
              <a:solidFill>
                <a:srgbClr val="2010D2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2010D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Deaths'!$A$2:$A$32</c:f>
              <c:numCache>
                <c:formatCode>m/d/yyyy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'Australia Per State Deaths'!$H$2:$H$32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1B-4A75-A0BE-528544489A9B}"/>
            </c:ext>
          </c:extLst>
        </c:ser>
        <c:ser>
          <c:idx val="7"/>
          <c:order val="7"/>
          <c:tx>
            <c:strRef>
              <c:f>'Australia Per State Deaths'!$I$1</c:f>
              <c:strCache>
                <c:ptCount val="1"/>
                <c:pt idx="0">
                  <c:v>Western Australia</c:v>
                </c:pt>
              </c:strCache>
            </c:strRef>
          </c:tx>
          <c:spPr>
            <a:ln w="12700" cap="rnd">
              <a:solidFill>
                <a:srgbClr val="FEBF00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FEBF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Deaths'!$A$2:$A$32</c:f>
              <c:numCache>
                <c:formatCode>m/d/yyyy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'Australia Per State Deaths'!$I$2:$I$32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1B-4A75-A0BE-528544489A9B}"/>
            </c:ext>
          </c:extLst>
        </c:ser>
        <c:ser>
          <c:idx val="8"/>
          <c:order val="8"/>
          <c:tx>
            <c:strRef>
              <c:f>'Australia Per State Deaths'!$J$1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trendline>
            <c:spPr>
              <a:ln w="15875" cap="flat">
                <a:solidFill>
                  <a:schemeClr val="accent3">
                    <a:lumMod val="60000"/>
                  </a:schemeClr>
                </a:solidFill>
                <a:prstDash val="sysDash"/>
                <a:round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0.15035163398594326"/>
                  <c:y val="-5.57893846622796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'Australia Per State Deaths'!$A$2:$A$32</c:f>
              <c:numCache>
                <c:formatCode>m/d/yyyy</c:formatCode>
                <c:ptCount val="3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</c:numCache>
            </c:numRef>
          </c:cat>
          <c:val>
            <c:numRef>
              <c:f>'Australia Per State Deaths'!$J$2:$J$32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91B-4A75-A0BE-528544489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6312176"/>
        <c:axId val="1076374560"/>
      </c:lineChart>
      <c:catAx>
        <c:axId val="1026312176"/>
        <c:scaling>
          <c:orientation val="minMax"/>
        </c:scaling>
        <c:delete val="0"/>
        <c:axPos val="b"/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11349058066945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74560"/>
        <c:crosses val="autoZero"/>
        <c:auto val="0"/>
        <c:lblAlgn val="ctr"/>
        <c:lblOffset val="100"/>
        <c:noMultiLvlLbl val="0"/>
      </c:catAx>
      <c:valAx>
        <c:axId val="1076374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0"/>
              <c:y val="0.4344125154284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31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3027890380132382E-2"/>
          <c:y val="1.2561983580069705E-2"/>
          <c:w val="0.90451964917216598"/>
          <c:h val="4.65845170090411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 Totals'!$N$1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'Per Country Totals'!$A$2:$A$64</c:f>
              <c:numCache>
                <c:formatCode>m/d/yyyy</c:formatCode>
                <c:ptCount val="63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</c:numCache>
            </c:numRef>
          </c:cat>
          <c:val>
            <c:numRef>
              <c:f>'Per Country Totals'!$N$2:$N$64</c:f>
              <c:numCache>
                <c:formatCode>General</c:formatCode>
                <c:ptCount val="63"/>
                <c:pt idx="0">
                  <c:v>552</c:v>
                </c:pt>
                <c:pt idx="1">
                  <c:v>647</c:v>
                </c:pt>
                <c:pt idx="2">
                  <c:v>928</c:v>
                </c:pt>
                <c:pt idx="3">
                  <c:v>1415</c:v>
                </c:pt>
                <c:pt idx="4">
                  <c:v>2095</c:v>
                </c:pt>
                <c:pt idx="5">
                  <c:v>2900</c:v>
                </c:pt>
                <c:pt idx="6">
                  <c:v>5540</c:v>
                </c:pt>
                <c:pt idx="7">
                  <c:v>6120</c:v>
                </c:pt>
                <c:pt idx="8">
                  <c:v>8181</c:v>
                </c:pt>
                <c:pt idx="9">
                  <c:v>9862</c:v>
                </c:pt>
                <c:pt idx="10">
                  <c:v>11965</c:v>
                </c:pt>
                <c:pt idx="11">
                  <c:v>16709</c:v>
                </c:pt>
                <c:pt idx="12">
                  <c:v>19800</c:v>
                </c:pt>
                <c:pt idx="13">
                  <c:v>23795</c:v>
                </c:pt>
                <c:pt idx="14">
                  <c:v>27532</c:v>
                </c:pt>
                <c:pt idx="15">
                  <c:v>30684</c:v>
                </c:pt>
                <c:pt idx="16">
                  <c:v>34217</c:v>
                </c:pt>
                <c:pt idx="17">
                  <c:v>36926</c:v>
                </c:pt>
                <c:pt idx="18">
                  <c:v>39944</c:v>
                </c:pt>
                <c:pt idx="19">
                  <c:v>42476</c:v>
                </c:pt>
                <c:pt idx="20">
                  <c:v>44512</c:v>
                </c:pt>
                <c:pt idx="21">
                  <c:v>44888</c:v>
                </c:pt>
                <c:pt idx="22">
                  <c:v>60025</c:v>
                </c:pt>
                <c:pt idx="23">
                  <c:v>66489</c:v>
                </c:pt>
                <c:pt idx="24">
                  <c:v>68559</c:v>
                </c:pt>
                <c:pt idx="25">
                  <c:v>70676</c:v>
                </c:pt>
                <c:pt idx="26">
                  <c:v>72606</c:v>
                </c:pt>
                <c:pt idx="27">
                  <c:v>74392</c:v>
                </c:pt>
                <c:pt idx="28">
                  <c:v>74812</c:v>
                </c:pt>
                <c:pt idx="29">
                  <c:v>75356</c:v>
                </c:pt>
                <c:pt idx="30">
                  <c:v>75973</c:v>
                </c:pt>
                <c:pt idx="31">
                  <c:v>77722</c:v>
                </c:pt>
                <c:pt idx="32">
                  <c:v>78045</c:v>
                </c:pt>
                <c:pt idx="33">
                  <c:v>78640</c:v>
                </c:pt>
                <c:pt idx="34">
                  <c:v>79439</c:v>
                </c:pt>
                <c:pt idx="35">
                  <c:v>80349</c:v>
                </c:pt>
                <c:pt idx="36">
                  <c:v>81666</c:v>
                </c:pt>
                <c:pt idx="37">
                  <c:v>82984</c:v>
                </c:pt>
                <c:pt idx="38">
                  <c:v>84786</c:v>
                </c:pt>
                <c:pt idx="39">
                  <c:v>87021</c:v>
                </c:pt>
                <c:pt idx="40">
                  <c:v>88831</c:v>
                </c:pt>
                <c:pt idx="41">
                  <c:v>91222</c:v>
                </c:pt>
                <c:pt idx="42">
                  <c:v>93230</c:v>
                </c:pt>
                <c:pt idx="43">
                  <c:v>95654</c:v>
                </c:pt>
                <c:pt idx="44">
                  <c:v>98971</c:v>
                </c:pt>
                <c:pt idx="45">
                  <c:v>102486</c:v>
                </c:pt>
                <c:pt idx="46">
                  <c:v>105725</c:v>
                </c:pt>
                <c:pt idx="47">
                  <c:v>108742</c:v>
                </c:pt>
                <c:pt idx="48">
                  <c:v>112216</c:v>
                </c:pt>
                <c:pt idx="49">
                  <c:v>117398</c:v>
                </c:pt>
                <c:pt idx="50">
                  <c:v>119332</c:v>
                </c:pt>
                <c:pt idx="51">
                  <c:v>130183</c:v>
                </c:pt>
                <c:pt idx="52">
                  <c:v>137958</c:v>
                </c:pt>
                <c:pt idx="53">
                  <c:v>145084</c:v>
                </c:pt>
                <c:pt idx="54">
                  <c:v>154942</c:v>
                </c:pt>
                <c:pt idx="55">
                  <c:v>165239</c:v>
                </c:pt>
                <c:pt idx="56">
                  <c:v>177695</c:v>
                </c:pt>
                <c:pt idx="57">
                  <c:v>195476</c:v>
                </c:pt>
                <c:pt idx="58">
                  <c:v>216321</c:v>
                </c:pt>
                <c:pt idx="59">
                  <c:v>236299</c:v>
                </c:pt>
                <c:pt idx="60">
                  <c:v>256942</c:v>
                </c:pt>
                <c:pt idx="61">
                  <c:v>283657</c:v>
                </c:pt>
                <c:pt idx="62">
                  <c:v>309872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E-4C85-98F1-39352DAA5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2282624"/>
        <c:axId val="1531456335"/>
      </c:lineChart>
      <c:catAx>
        <c:axId val="1152282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456335"/>
        <c:crosses val="autoZero"/>
        <c:auto val="0"/>
        <c:lblAlgn val="ctr"/>
        <c:lblOffset val="100"/>
        <c:noMultiLvlLbl val="0"/>
      </c:catAx>
      <c:valAx>
        <c:axId val="15314563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28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/Relationships>
</file>

<file path=xl/chart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B513EB5-2E11-4774-A397-A4E032433EA1}">
  <sheetPr codeName="Chart5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E7A8E5-99B2-4D7F-83A1-896D135F3668}">
  <sheetPr codeName="Chart8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71ADE59-1489-4FC7-9935-7E9F43C75C34}">
  <sheetPr codeName="Chart3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3C6C0E8-4925-4A1C-A6DD-153EACC4EC3D}">
  <sheetPr codeName="Chart10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27E354-231B-4C57-A4FF-D215B1993260}">
  <sheetPr codeName="Chart2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E4879F8-5E87-4545-B18B-FD0ECE0CC669}">
  <sheetPr codeName="Chart1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75A4004-6C57-42BF-929F-B293259E0A0A}">
  <sheetPr codeName="Chart7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1043674-B1E0-4A54-8227-F9A9B3E77174}">
  <sheetPr codeName="Chart6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D2AEECF-B8CF-421B-A97D-C736588DFA17}">
  <sheetPr codeName="Chart4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548B10F-36FE-4F4F-BF54-795717F539C0}">
  <sheetPr codeName="Chart9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449778-A2CC-478C-AE2E-62DBF182E60F}">
  <sheetPr codeName="Chart13"/>
  <sheetViews>
    <sheetView zoomScale="228" workbookViewId="0" zoomToFit="1"/>
  </sheetViews>
  <pageMargins left="0.7" right="0.7" top="0.75" bottom="0.75" header="0.3" footer="0.3"/>
  <pageSetup paperSize="9" orientation="landscape" horizontalDpi="0" verticalDpi="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9921F1-EF50-420C-B1E5-CBF28629D78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0.71429</cdr:x>
      <cdr:y>0.961</cdr:y>
    </cdr:from>
    <cdr:to>
      <cdr:x>0.96849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70F71F0-D0E5-412E-9E5F-0A56DA74F437}"/>
            </a:ext>
          </a:extLst>
        </cdr:cNvPr>
        <cdr:cNvSpPr txBox="1"/>
      </cdr:nvSpPr>
      <cdr:spPr>
        <a:xfrm xmlns:a="http://schemas.openxmlformats.org/drawingml/2006/main">
          <a:off x="6637421" y="5831304"/>
          <a:ext cx="2362200" cy="2366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AU" sz="1100"/>
        </a:p>
      </cdr:txBody>
    </cdr:sp>
  </cdr:relSizeAnchor>
  <cdr:relSizeAnchor xmlns:cdr="http://schemas.openxmlformats.org/drawingml/2006/chartDrawing">
    <cdr:from>
      <cdr:x>0.82357</cdr:x>
      <cdr:y>0.9696</cdr:y>
    </cdr:from>
    <cdr:to>
      <cdr:x>0.9605</cdr:x>
      <cdr:y>1</cdr:y>
    </cdr:to>
    <cdr:grpSp>
      <cdr:nvGrpSpPr>
        <cdr:cNvPr id="6" name="Group 5">
          <a:extLst xmlns:a="http://schemas.openxmlformats.org/drawingml/2006/main">
            <a:ext uri="{FF2B5EF4-FFF2-40B4-BE49-F238E27FC236}">
              <a16:creationId xmlns:a16="http://schemas.microsoft.com/office/drawing/2014/main" id="{D3BB3559-1280-4305-9C94-94A195570C47}"/>
            </a:ext>
          </a:extLst>
        </cdr:cNvPr>
        <cdr:cNvGrpSpPr/>
      </cdr:nvGrpSpPr>
      <cdr:grpSpPr>
        <a:xfrm xmlns:a="http://schemas.openxmlformats.org/drawingml/2006/main">
          <a:off x="7653383" y="5883815"/>
          <a:ext cx="1272482" cy="184476"/>
          <a:chOff x="7566329" y="5860913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BB68D63C-3D6D-4589-92D0-0028DCE837B4}"/>
              </a:ext>
            </a:extLst>
          </cdr:cNvPr>
          <cdr:cNvSpPr txBox="1"/>
        </cdr:nvSpPr>
        <cdr:spPr>
          <a:xfrm xmlns:a="http://schemas.openxmlformats.org/drawingml/2006/main">
            <a:off x="7659634" y="5860913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rtlCol="0"/>
          <a:lstStyle xmlns:a="http://schemas.openxmlformats.org/drawingml/2006/main"/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5" name="Picture 4">
            <a:extLst xmlns:a="http://schemas.openxmlformats.org/drawingml/2006/main">
              <a:ext uri="{FF2B5EF4-FFF2-40B4-BE49-F238E27FC236}">
                <a16:creationId xmlns:a16="http://schemas.microsoft.com/office/drawing/2014/main" id="{1601818D-7182-4C36-8B48-865F5F57D3A2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7566329" y="5895003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701730-5FBE-4289-8F94-82093C73B49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0.82472</cdr:x>
      <cdr:y>0.96961</cdr:y>
    </cdr:from>
    <cdr:to>
      <cdr:x>0.96166</cdr:x>
      <cdr:y>1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64070" y="5883876"/>
          <a:ext cx="1272575" cy="184415"/>
          <a:chOff x="0" y="0"/>
          <a:chExt cx="1272399" cy="184483"/>
        </a:xfrm>
      </cdr:grpSpPr>
      <cdr:sp macro="" textlink="">
        <cdr:nvSpPr>
          <cdr:cNvPr id="9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10" name="Picture 9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5DED33-285F-49CB-9CC5-03CE213566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0.82273</cdr:x>
      <cdr:y>0.96959</cdr:y>
    </cdr:from>
    <cdr:to>
      <cdr:x>0.95968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5577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21D04D-CADB-487C-A5A7-1DCCC2AA966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0.82273</cdr:x>
      <cdr:y>0.96959</cdr:y>
    </cdr:from>
    <cdr:to>
      <cdr:x>0.95968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5577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BF9925-E778-47E6-8645-95F7664300A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0.82412</cdr:x>
      <cdr:y>0.96961</cdr:y>
    </cdr:from>
    <cdr:to>
      <cdr:x>0.96105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8494" y="5883876"/>
          <a:ext cx="1272482" cy="184415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014318-9A17-4E78-94A8-C07C98E3CC5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0.82332</cdr:x>
      <cdr:y>0.96959</cdr:y>
    </cdr:from>
    <cdr:to>
      <cdr:x>0.96026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1060" y="5883754"/>
          <a:ext cx="1272575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AF602C-07B7-4A4A-B8EE-7FC0B81E815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0.82345</cdr:x>
      <cdr:y>0.96959</cdr:y>
    </cdr:from>
    <cdr:to>
      <cdr:x>0.9604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2268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620525-2A14-4F80-9002-42E2CDDA77E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0.82345</cdr:x>
      <cdr:y>0.96959</cdr:y>
    </cdr:from>
    <cdr:to>
      <cdr:x>0.9604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2268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50BAD7-85B8-448B-959F-CEB01B2E4B0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0.82309</cdr:x>
      <cdr:y>0.96959</cdr:y>
    </cdr:from>
    <cdr:to>
      <cdr:x>0.96004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8923" y="5883754"/>
          <a:ext cx="1272667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1F9AA5-C4AB-4B5A-8F5E-606236830A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0.82309</cdr:x>
      <cdr:y>0.96959</cdr:y>
    </cdr:from>
    <cdr:to>
      <cdr:x>0.96004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8923" y="5883754"/>
          <a:ext cx="1272667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1053" cy="606592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E3C1F9-E526-429C-876A-CBCE18051B8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17DD5869-0B37-461C-8C95-F3B639CCED5D}" autoFormatId="16" applyNumberFormats="0" applyBorderFormats="0" applyFontFormats="0" applyPatternFormats="0" applyAlignmentFormats="0" applyWidthHeightFormats="0">
  <queryTableRefresh nextId="16">
    <queryTableFields count="10">
      <queryTableField id="1" name="Date" tableColumnId="1"/>
      <queryTableField id="9" name="Australian Capital Territory" tableColumnId="9"/>
      <queryTableField id="2" name="New South Wales" tableColumnId="2"/>
      <queryTableField id="8" name="Northern Territory" tableColumnId="8"/>
      <queryTableField id="4" name="Queensland" tableColumnId="4"/>
      <queryTableField id="5" name="South Australia" tableColumnId="5"/>
      <queryTableField id="7" name="Tasmania" tableColumnId="7"/>
      <queryTableField id="3" name="Victoria" tableColumnId="3"/>
      <queryTableField id="6" name="Western Australia" tableColumnId="6"/>
      <queryTableField id="10" name="Total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990472A9-6466-43BE-94E6-23E36B72A64B}" autoFormatId="16" applyNumberFormats="0" applyBorderFormats="0" applyFontFormats="0" applyPatternFormats="0" applyAlignmentFormats="0" applyWidthHeightFormats="0">
  <queryTableRefresh nextId="18">
    <queryTableFields count="10">
      <queryTableField id="10" name="Date" tableColumnId="10"/>
      <queryTableField id="8" name="Australian Capital Territory" tableColumnId="8"/>
      <queryTableField id="1" name="New South Wales" tableColumnId="1"/>
      <queryTableField id="7" name="Northern Territory" tableColumnId="7"/>
      <queryTableField id="3" name="Queensland" tableColumnId="3"/>
      <queryTableField id="4" name="South Australia" tableColumnId="4"/>
      <queryTableField id="6" name="Tasmania" tableColumnId="6"/>
      <queryTableField id="2" name="Victoria" tableColumnId="2"/>
      <queryTableField id="5" name="Western Australia" tableColumnId="5"/>
      <queryTableField id="9" name="Total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6" xr16:uid="{EA913C61-5D5B-409A-9EB4-CDF2E9264750}" autoFormatId="16" applyNumberFormats="0" applyBorderFormats="0" applyFontFormats="0" applyPatternFormats="0" applyAlignmentFormats="0" applyWidthHeightFormats="0">
  <queryTableRefresh nextId="65">
    <queryTableFields count="64">
      <queryTableField id="1" name="Country/Region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  <queryTableField id="20" name="19" tableColumnId="20"/>
      <queryTableField id="21" name="20" tableColumnId="21"/>
      <queryTableField id="22" name="21" tableColumnId="22"/>
      <queryTableField id="23" name="22" tableColumnId="23"/>
      <queryTableField id="24" name="23" tableColumnId="24"/>
      <queryTableField id="25" name="24" tableColumnId="25"/>
      <queryTableField id="26" name="25" tableColumnId="26"/>
      <queryTableField id="27" name="26" tableColumnId="27"/>
      <queryTableField id="28" name="27" tableColumnId="28"/>
      <queryTableField id="29" name="28" tableColumnId="29"/>
      <queryTableField id="30" name="29" tableColumnId="30"/>
      <queryTableField id="31" name="30" tableColumnId="31"/>
      <queryTableField id="32" name="31" tableColumnId="32"/>
      <queryTableField id="33" name="32" tableColumnId="33"/>
      <queryTableField id="34" name="33" tableColumnId="34"/>
      <queryTableField id="35" name="34" tableColumnId="35"/>
      <queryTableField id="36" name="35" tableColumnId="36"/>
      <queryTableField id="37" name="36" tableColumnId="37"/>
      <queryTableField id="38" name="37" tableColumnId="38"/>
      <queryTableField id="39" name="38" tableColumnId="39"/>
      <queryTableField id="40" name="39" tableColumnId="40"/>
      <queryTableField id="41" name="40" tableColumnId="41"/>
      <queryTableField id="42" name="41" tableColumnId="42"/>
      <queryTableField id="43" name="42" tableColumnId="43"/>
      <queryTableField id="44" name="43" tableColumnId="44"/>
      <queryTableField id="45" name="44" tableColumnId="45"/>
      <queryTableField id="46" name="45" tableColumnId="46"/>
      <queryTableField id="47" name="46" tableColumnId="47"/>
      <queryTableField id="48" name="47" tableColumnId="48"/>
      <queryTableField id="49" name="48" tableColumnId="49"/>
      <queryTableField id="50" name="49" tableColumnId="50"/>
      <queryTableField id="51" name="50" tableColumnId="51"/>
      <queryTableField id="52" name="51" tableColumnId="52"/>
      <queryTableField id="53" name="52" tableColumnId="53"/>
      <queryTableField id="54" name="53" tableColumnId="54"/>
      <queryTableField id="55" name="54" tableColumnId="55"/>
      <queryTableField id="56" name="55" tableColumnId="56"/>
      <queryTableField id="57" name="56" tableColumnId="57"/>
      <queryTableField id="58" name="57" tableColumnId="58"/>
      <queryTableField id="59" name="58" tableColumnId="59"/>
      <queryTableField id="60" name="59" tableColumnId="60"/>
      <queryTableField id="61" name="60" tableColumnId="61"/>
      <queryTableField id="62" name="61" tableColumnId="62"/>
      <queryTableField id="63" name="62" tableColumnId="63"/>
      <queryTableField id="64" name="63" tableColumnId="6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5" xr16:uid="{018C4977-F572-484B-8C7F-BAFD1BECD345}" autoFormatId="16" applyNumberFormats="0" applyBorderFormats="0" applyFontFormats="0" applyPatternFormats="0" applyAlignmentFormats="0" applyWidthHeightFormats="0">
  <queryTableRefresh nextId="89">
    <queryTableFields count="64">
      <queryTableField id="1" name="Country/Region" tableColumnId="1"/>
      <queryTableField id="2" name="1" tableColumnId="2"/>
      <queryTableField id="11" name="2" tableColumnId="11"/>
      <queryTableField id="12" name="3" tableColumnId="12"/>
      <queryTableField id="13" name="4" tableColumnId="13"/>
      <queryTableField id="14" name="5" tableColumnId="14"/>
      <queryTableField id="15" name="6" tableColumnId="15"/>
      <queryTableField id="16" name="7" tableColumnId="16"/>
      <queryTableField id="17" name="8" tableColumnId="17"/>
      <queryTableField id="18" name="9" tableColumnId="18"/>
      <queryTableField id="19" name="10" tableColumnId="19"/>
      <queryTableField id="3" name="11" tableColumnId="3"/>
      <queryTableField id="4" name="12" tableColumnId="4"/>
      <queryTableField id="5" name="13" tableColumnId="5"/>
      <queryTableField id="6" name="14" tableColumnId="6"/>
      <queryTableField id="7" name="15" tableColumnId="7"/>
      <queryTableField id="8" name="16" tableColumnId="8"/>
      <queryTableField id="9" name="17" tableColumnId="9"/>
      <queryTableField id="10" name="18" tableColumnId="10"/>
      <queryTableField id="28" name="19" tableColumnId="28"/>
      <queryTableField id="29" name="20" tableColumnId="29"/>
      <queryTableField id="30" name="21" tableColumnId="30"/>
      <queryTableField id="31" name="22" tableColumnId="31"/>
      <queryTableField id="32" name="23" tableColumnId="32"/>
      <queryTableField id="33" name="24" tableColumnId="33"/>
      <queryTableField id="34" name="25" tableColumnId="34"/>
      <queryTableField id="35" name="26" tableColumnId="35"/>
      <queryTableField id="36" name="27" tableColumnId="36"/>
      <queryTableField id="20" name="28" tableColumnId="20"/>
      <queryTableField id="21" name="29" tableColumnId="21"/>
      <queryTableField id="22" name="30" tableColumnId="22"/>
      <queryTableField id="23" name="31" tableColumnId="23"/>
      <queryTableField id="24" name="32" tableColumnId="24"/>
      <queryTableField id="25" name="33" tableColumnId="25"/>
      <queryTableField id="26" name="34" tableColumnId="26"/>
      <queryTableField id="27" name="35" tableColumnId="27"/>
      <queryTableField id="45" name="36" tableColumnId="45"/>
      <queryTableField id="46" name="37" tableColumnId="46"/>
      <queryTableField id="47" name="38" tableColumnId="47"/>
      <queryTableField id="37" name="39" tableColumnId="37"/>
      <queryTableField id="38" name="40" tableColumnId="38"/>
      <queryTableField id="39" name="41" tableColumnId="39"/>
      <queryTableField id="40" name="42" tableColumnId="40"/>
      <queryTableField id="41" name="43" tableColumnId="41"/>
      <queryTableField id="42" name="44" tableColumnId="42"/>
      <queryTableField id="43" name="45" tableColumnId="43"/>
      <queryTableField id="44" name="46" tableColumnId="44"/>
      <queryTableField id="56" name="47" tableColumnId="56"/>
      <queryTableField id="57" name="48" tableColumnId="57"/>
      <queryTableField id="58" name="49" tableColumnId="58"/>
      <queryTableField id="48" name="50" tableColumnId="48"/>
      <queryTableField id="49" name="51" tableColumnId="49"/>
      <queryTableField id="50" name="52" tableColumnId="50"/>
      <queryTableField id="51" name="53" tableColumnId="51"/>
      <queryTableField id="52" name="54" tableColumnId="52"/>
      <queryTableField id="53" name="55" tableColumnId="53"/>
      <queryTableField id="54" name="56" tableColumnId="54"/>
      <queryTableField id="55" name="57" tableColumnId="55"/>
      <queryTableField id="83" name="58" tableColumnId="59"/>
      <queryTableField id="84" name="59" tableColumnId="60"/>
      <queryTableField id="85" name="60" tableColumnId="61"/>
      <queryTableField id="86" name="61" tableColumnId="62"/>
      <queryTableField id="87" name="62" tableColumnId="63"/>
      <queryTableField id="88" name="63" tableColumnId="6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159B304A-17BC-4735-ADB6-C07A3B22F85B}" autoFormatId="16" applyNumberFormats="0" applyBorderFormats="0" applyFontFormats="0" applyPatternFormats="0" applyAlignmentFormats="0" applyWidthHeightFormats="0">
  <queryTableRefresh nextId="192">
    <queryTableFields count="14">
      <queryTableField id="1" name="Date" tableColumnId="1"/>
      <queryTableField id="9" name="Australia" tableColumnId="9"/>
      <queryTableField id="28" name="Canada" tableColumnId="28"/>
      <queryTableField id="32" name="China" tableColumnId="32"/>
      <queryTableField id="43" name="Denmark" tableColumnId="43"/>
      <queryTableField id="55" name="France" tableColumnId="55"/>
      <queryTableField id="190" name="Germany" tableColumnId="2"/>
      <queryTableField id="71" name="Iran" tableColumnId="71"/>
      <queryTableField id="75" name="Italy" tableColumnId="75"/>
      <queryTableField id="77" name="Japan" tableColumnId="77"/>
      <queryTableField id="81" name="Korea, South" tableColumnId="81"/>
      <queryTableField id="148" name="US" tableColumnId="148"/>
      <queryTableField id="151" name="United Kingdom" tableColumnId="151"/>
      <queryTableField id="157" name="Total" tableColumnId="15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3" xr16:uid="{973DAA9D-02F0-4A4A-A634-B89B8816FA2E}" autoFormatId="16" applyNumberFormats="0" applyBorderFormats="0" applyFontFormats="0" applyPatternFormats="0" applyAlignmentFormats="0" applyWidthHeightFormats="0">
  <queryTableRefresh nextId="65">
    <queryTableFields count="64">
      <queryTableField id="1" name="Country/Region" tableColumnId="1"/>
      <queryTableField id="2" name="1/22/20" tableColumnId="2"/>
      <queryTableField id="3" name="1/23/20" tableColumnId="3"/>
      <queryTableField id="4" name="1/24/20" tableColumnId="4"/>
      <queryTableField id="5" name="1/25/20" tableColumnId="5"/>
      <queryTableField id="6" name="1/26/20" tableColumnId="6"/>
      <queryTableField id="7" name="1/27/20" tableColumnId="7"/>
      <queryTableField id="8" name="1/28/20" tableColumnId="8"/>
      <queryTableField id="9" name="1/29/20" tableColumnId="9"/>
      <queryTableField id="10" name="1/30/20" tableColumnId="10"/>
      <queryTableField id="11" name="1/31/20" tableColumnId="11"/>
      <queryTableField id="12" name="2/1/20" tableColumnId="12"/>
      <queryTableField id="13" name="2/2/20" tableColumnId="13"/>
      <queryTableField id="14" name="2/3/20" tableColumnId="14"/>
      <queryTableField id="15" name="2/4/20" tableColumnId="15"/>
      <queryTableField id="16" name="2/5/20" tableColumnId="16"/>
      <queryTableField id="17" name="2/6/20" tableColumnId="17"/>
      <queryTableField id="18" name="2/7/20" tableColumnId="18"/>
      <queryTableField id="19" name="2/8/20" tableColumnId="19"/>
      <queryTableField id="20" name="2/9/20" tableColumnId="20"/>
      <queryTableField id="21" name="2/10/20" tableColumnId="21"/>
      <queryTableField id="22" name="2/11/20" tableColumnId="22"/>
      <queryTableField id="23" name="2/12/20" tableColumnId="23"/>
      <queryTableField id="24" name="2/13/20" tableColumnId="24"/>
      <queryTableField id="25" name="2/14/20" tableColumnId="25"/>
      <queryTableField id="26" name="2/15/20" tableColumnId="26"/>
      <queryTableField id="27" name="2/16/20" tableColumnId="27"/>
      <queryTableField id="28" name="2/17/20" tableColumnId="28"/>
      <queryTableField id="29" name="2/18/20" tableColumnId="29"/>
      <queryTableField id="30" name="2/19/20" tableColumnId="30"/>
      <queryTableField id="31" name="2/20/20" tableColumnId="31"/>
      <queryTableField id="32" name="2/21/20" tableColumnId="32"/>
      <queryTableField id="33" name="2/22/20" tableColumnId="33"/>
      <queryTableField id="34" name="2/23/20" tableColumnId="34"/>
      <queryTableField id="35" name="2/24/20" tableColumnId="35"/>
      <queryTableField id="36" name="2/25/20" tableColumnId="36"/>
      <queryTableField id="37" name="2/26/20" tableColumnId="37"/>
      <queryTableField id="38" name="2/27/20" tableColumnId="38"/>
      <queryTableField id="39" name="2/28/20" tableColumnId="39"/>
      <queryTableField id="40" name="2/29/20" tableColumnId="40"/>
      <queryTableField id="41" name="3/1/20" tableColumnId="41"/>
      <queryTableField id="42" name="3/2/20" tableColumnId="42"/>
      <queryTableField id="43" name="3/3/20" tableColumnId="43"/>
      <queryTableField id="44" name="3/4/20" tableColumnId="44"/>
      <queryTableField id="45" name="3/5/20" tableColumnId="45"/>
      <queryTableField id="46" name="3/6/20" tableColumnId="46"/>
      <queryTableField id="47" name="3/7/20" tableColumnId="47"/>
      <queryTableField id="48" name="3/8/20" tableColumnId="48"/>
      <queryTableField id="49" name="3/9/20" tableColumnId="49"/>
      <queryTableField id="50" name="3/10/20" tableColumnId="50"/>
      <queryTableField id="51" name="3/11/20" tableColumnId="51"/>
      <queryTableField id="52" name="3/12/20" tableColumnId="52"/>
      <queryTableField id="53" name="3/13/20" tableColumnId="53"/>
      <queryTableField id="54" name="3/14/20" tableColumnId="54"/>
      <queryTableField id="55" name="3/15/20" tableColumnId="55"/>
      <queryTableField id="56" name="3/16/20" tableColumnId="56"/>
      <queryTableField id="57" name="3/17/20" tableColumnId="57"/>
      <queryTableField id="58" name="3/18/20" tableColumnId="58"/>
      <queryTableField id="59" name="3/19/20" tableColumnId="59"/>
      <queryTableField id="60" name="3/20/20" tableColumnId="60"/>
      <queryTableField id="61" name="3/21/20" tableColumnId="61"/>
      <queryTableField id="62" name="3/22/20" tableColumnId="62"/>
      <queryTableField id="63" name="3/23/20" tableColumnId="63"/>
      <queryTableField id="64" name="3/24/20" tableColumnId="6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2" xr16:uid="{D740EE79-AD3E-4DBA-8942-24C30F13BF7B}" autoFormatId="16" applyNumberFormats="0" applyBorderFormats="0" applyFontFormats="0" applyPatternFormats="0" applyAlignmentFormats="0" applyWidthHeightFormats="0">
  <queryTableRefresh nextId="68">
    <queryTableFields count="67">
      <queryTableField id="1" name="Province/State" tableColumnId="1"/>
      <queryTableField id="2" name="Country/Region" tableColumnId="2"/>
      <queryTableField id="3" name="Lat" tableColumnId="3"/>
      <queryTableField id="4" name="Long" tableColumnId="4"/>
      <queryTableField id="5" name="1/22/20" tableColumnId="5"/>
      <queryTableField id="6" name="1/23/20" tableColumnId="6"/>
      <queryTableField id="7" name="1/24/20" tableColumnId="7"/>
      <queryTableField id="8" name="1/25/20" tableColumnId="8"/>
      <queryTableField id="9" name="1/26/20" tableColumnId="9"/>
      <queryTableField id="10" name="1/27/20" tableColumnId="10"/>
      <queryTableField id="11" name="1/28/20" tableColumnId="11"/>
      <queryTableField id="12" name="1/29/20" tableColumnId="12"/>
      <queryTableField id="13" name="1/30/20" tableColumnId="13"/>
      <queryTableField id="14" name="1/31/20" tableColumnId="14"/>
      <queryTableField id="15" name="2/1/20" tableColumnId="15"/>
      <queryTableField id="16" name="2/2/20" tableColumnId="16"/>
      <queryTableField id="17" name="2/3/20" tableColumnId="17"/>
      <queryTableField id="18" name="2/4/20" tableColumnId="18"/>
      <queryTableField id="19" name="2/5/20" tableColumnId="19"/>
      <queryTableField id="20" name="2/6/20" tableColumnId="20"/>
      <queryTableField id="21" name="2/7/20" tableColumnId="21"/>
      <queryTableField id="22" name="2/8/20" tableColumnId="22"/>
      <queryTableField id="23" name="2/9/20" tableColumnId="23"/>
      <queryTableField id="24" name="2/10/20" tableColumnId="24"/>
      <queryTableField id="25" name="2/11/20" tableColumnId="25"/>
      <queryTableField id="26" name="2/12/20" tableColumnId="26"/>
      <queryTableField id="27" name="2/13/20" tableColumnId="27"/>
      <queryTableField id="28" name="2/14/20" tableColumnId="28"/>
      <queryTableField id="29" name="2/15/20" tableColumnId="29"/>
      <queryTableField id="30" name="2/16/20" tableColumnId="30"/>
      <queryTableField id="31" name="2/17/20" tableColumnId="31"/>
      <queryTableField id="32" name="2/18/20" tableColumnId="32"/>
      <queryTableField id="33" name="2/19/20" tableColumnId="33"/>
      <queryTableField id="34" name="2/20/20" tableColumnId="34"/>
      <queryTableField id="35" name="2/21/20" tableColumnId="35"/>
      <queryTableField id="36" name="2/22/20" tableColumnId="36"/>
      <queryTableField id="37" name="2/23/20" tableColumnId="37"/>
      <queryTableField id="38" name="2/24/20" tableColumnId="38"/>
      <queryTableField id="39" name="2/25/20" tableColumnId="39"/>
      <queryTableField id="40" name="2/26/20" tableColumnId="40"/>
      <queryTableField id="41" name="2/27/20" tableColumnId="41"/>
      <queryTableField id="42" name="2/28/20" tableColumnId="42"/>
      <queryTableField id="43" name="2/29/20" tableColumnId="43"/>
      <queryTableField id="44" name="3/1/20" tableColumnId="44"/>
      <queryTableField id="45" name="3/2/20" tableColumnId="45"/>
      <queryTableField id="46" name="3/3/20" tableColumnId="46"/>
      <queryTableField id="47" name="3/4/20" tableColumnId="47"/>
      <queryTableField id="48" name="3/5/20" tableColumnId="48"/>
      <queryTableField id="49" name="3/6/20" tableColumnId="49"/>
      <queryTableField id="50" name="3/7/20" tableColumnId="50"/>
      <queryTableField id="51" name="3/8/20" tableColumnId="51"/>
      <queryTableField id="52" name="3/9/20" tableColumnId="52"/>
      <queryTableField id="53" name="3/10/20" tableColumnId="53"/>
      <queryTableField id="54" name="3/11/20" tableColumnId="54"/>
      <queryTableField id="55" name="3/12/20" tableColumnId="55"/>
      <queryTableField id="56" name="3/13/20" tableColumnId="56"/>
      <queryTableField id="57" name="3/14/20" tableColumnId="57"/>
      <queryTableField id="58" name="3/15/20" tableColumnId="58"/>
      <queryTableField id="59" name="3/16/20" tableColumnId="59"/>
      <queryTableField id="60" name="3/17/20" tableColumnId="60"/>
      <queryTableField id="61" name="3/18/20" tableColumnId="61"/>
      <queryTableField id="62" name="3/19/20" tableColumnId="62"/>
      <queryTableField id="63" name="3/20/20" tableColumnId="63"/>
      <queryTableField id="64" name="3/21/20" tableColumnId="64"/>
      <queryTableField id="65" name="3/22/20" tableColumnId="65"/>
      <queryTableField id="66" name="3/23/20" tableColumnId="66"/>
      <queryTableField id="67" name="3/24/20" tableColumnId="6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6546A29C-D66D-4930-94F3-AD253E3F3FC9}" autoFormatId="16" applyNumberFormats="0" applyBorderFormats="0" applyFontFormats="0" applyPatternFormats="0" applyAlignmentFormats="0" applyWidthHeightFormats="0">
  <queryTableRefresh nextId="65">
    <queryTableFields count="64">
      <queryTableField id="1" name="Country/Region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  <queryTableField id="20" name="19" tableColumnId="20"/>
      <queryTableField id="21" name="20" tableColumnId="21"/>
      <queryTableField id="22" name="21" tableColumnId="22"/>
      <queryTableField id="23" name="22" tableColumnId="23"/>
      <queryTableField id="24" name="23" tableColumnId="24"/>
      <queryTableField id="25" name="24" tableColumnId="25"/>
      <queryTableField id="26" name="25" tableColumnId="26"/>
      <queryTableField id="27" name="26" tableColumnId="27"/>
      <queryTableField id="28" name="27" tableColumnId="28"/>
      <queryTableField id="29" name="28" tableColumnId="29"/>
      <queryTableField id="30" name="29" tableColumnId="30"/>
      <queryTableField id="31" name="30" tableColumnId="31"/>
      <queryTableField id="32" name="31" tableColumnId="32"/>
      <queryTableField id="33" name="32" tableColumnId="33"/>
      <queryTableField id="34" name="33" tableColumnId="34"/>
      <queryTableField id="35" name="34" tableColumnId="35"/>
      <queryTableField id="36" name="35" tableColumnId="36"/>
      <queryTableField id="37" name="36" tableColumnId="37"/>
      <queryTableField id="38" name="37" tableColumnId="38"/>
      <queryTableField id="39" name="38" tableColumnId="39"/>
      <queryTableField id="40" name="39" tableColumnId="40"/>
      <queryTableField id="41" name="40" tableColumnId="41"/>
      <queryTableField id="42" name="41" tableColumnId="42"/>
      <queryTableField id="43" name="42" tableColumnId="43"/>
      <queryTableField id="44" name="43" tableColumnId="44"/>
      <queryTableField id="45" name="44" tableColumnId="45"/>
      <queryTableField id="46" name="45" tableColumnId="46"/>
      <queryTableField id="47" name="46" tableColumnId="47"/>
      <queryTableField id="48" name="47" tableColumnId="48"/>
      <queryTableField id="49" name="48" tableColumnId="49"/>
      <queryTableField id="50" name="49" tableColumnId="50"/>
      <queryTableField id="51" name="50" tableColumnId="51"/>
      <queryTableField id="52" name="51" tableColumnId="52"/>
      <queryTableField id="53" name="52" tableColumnId="53"/>
      <queryTableField id="54" name="53" tableColumnId="54"/>
      <queryTableField id="55" name="54" tableColumnId="55"/>
      <queryTableField id="56" name="55" tableColumnId="56"/>
      <queryTableField id="57" name="56" tableColumnId="57"/>
      <queryTableField id="58" name="57" tableColumnId="58"/>
      <queryTableField id="59" name="58" tableColumnId="59"/>
      <queryTableField id="60" name="59" tableColumnId="60"/>
      <queryTableField id="61" name="60" tableColumnId="61"/>
      <queryTableField id="62" name="61" tableColumnId="62"/>
      <queryTableField id="63" name="62" tableColumnId="63"/>
      <queryTableField id="64" name="63" tableColumnId="6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6202CD8B-2417-4AB6-8553-ABB61C47F1EB}" autoFormatId="16" applyNumberFormats="0" applyBorderFormats="0" applyFontFormats="0" applyPatternFormats="0" applyAlignmentFormats="0" applyWidthHeightFormats="0">
  <queryTableRefresh nextId="67">
    <queryTableFields count="64">
      <queryTableField id="1" name="Country/Region" tableColumnId="1"/>
      <queryTableField id="4" name="1" tableColumnId="4"/>
      <queryTableField id="5" name="2" tableColumnId="5"/>
      <queryTableField id="6" name="3" tableColumnId="6"/>
      <queryTableField id="7" name="4" tableColumnId="7"/>
      <queryTableField id="8" name="5" tableColumnId="8"/>
      <queryTableField id="9" name="6" tableColumnId="9"/>
      <queryTableField id="10" name="7" tableColumnId="10"/>
      <queryTableField id="11" name="8" tableColumnId="11"/>
      <queryTableField id="12" name="9" tableColumnId="12"/>
      <queryTableField id="13" name="10" tableColumnId="13"/>
      <queryTableField id="14" name="11" tableColumnId="14"/>
      <queryTableField id="15" name="12" tableColumnId="15"/>
      <queryTableField id="16" name="13" tableColumnId="16"/>
      <queryTableField id="17" name="14" tableColumnId="17"/>
      <queryTableField id="18" name="15" tableColumnId="18"/>
      <queryTableField id="19" name="16" tableColumnId="19"/>
      <queryTableField id="20" name="17" tableColumnId="20"/>
      <queryTableField id="21" name="18" tableColumnId="21"/>
      <queryTableField id="22" name="19" tableColumnId="22"/>
      <queryTableField id="23" name="20" tableColumnId="23"/>
      <queryTableField id="24" name="21" tableColumnId="24"/>
      <queryTableField id="25" name="22" tableColumnId="25"/>
      <queryTableField id="26" name="23" tableColumnId="26"/>
      <queryTableField id="27" name="24" tableColumnId="27"/>
      <queryTableField id="28" name="25" tableColumnId="28"/>
      <queryTableField id="29" name="26" tableColumnId="29"/>
      <queryTableField id="30" name="27" tableColumnId="30"/>
      <queryTableField id="31" name="28" tableColumnId="31"/>
      <queryTableField id="32" name="29" tableColumnId="32"/>
      <queryTableField id="33" name="30" tableColumnId="33"/>
      <queryTableField id="34" name="31" tableColumnId="34"/>
      <queryTableField id="35" name="32" tableColumnId="35"/>
      <queryTableField id="36" name="33" tableColumnId="36"/>
      <queryTableField id="37" name="34" tableColumnId="37"/>
      <queryTableField id="38" name="35" tableColumnId="38"/>
      <queryTableField id="39" name="36" tableColumnId="39"/>
      <queryTableField id="40" name="37" tableColumnId="40"/>
      <queryTableField id="41" name="38" tableColumnId="41"/>
      <queryTableField id="42" name="39" tableColumnId="42"/>
      <queryTableField id="43" name="40" tableColumnId="43"/>
      <queryTableField id="44" name="41" tableColumnId="44"/>
      <queryTableField id="45" name="42" tableColumnId="45"/>
      <queryTableField id="46" name="43" tableColumnId="46"/>
      <queryTableField id="47" name="44" tableColumnId="47"/>
      <queryTableField id="48" name="45" tableColumnId="48"/>
      <queryTableField id="49" name="46" tableColumnId="49"/>
      <queryTableField id="50" name="47" tableColumnId="50"/>
      <queryTableField id="51" name="48" tableColumnId="51"/>
      <queryTableField id="52" name="49" tableColumnId="52"/>
      <queryTableField id="53" name="50" tableColumnId="53"/>
      <queryTableField id="54" name="51" tableColumnId="2"/>
      <queryTableField id="55" name="52" tableColumnId="3"/>
      <queryTableField id="56" name="53" tableColumnId="54"/>
      <queryTableField id="57" name="54" tableColumnId="55"/>
      <queryTableField id="58" name="55" tableColumnId="56"/>
      <queryTableField id="59" name="56" tableColumnId="57"/>
      <queryTableField id="60" name="57" tableColumnId="58"/>
      <queryTableField id="61" name="58" tableColumnId="59"/>
      <queryTableField id="62" name="59" tableColumnId="60"/>
      <queryTableField id="63" name="60" tableColumnId="61"/>
      <queryTableField id="64" name="61" tableColumnId="62"/>
      <queryTableField id="65" name="62" tableColumnId="63"/>
      <queryTableField id="66" name="63" tableColumnId="6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A7D255C0-BBA0-4273-9A7F-8A9B301B1393}" autoFormatId="16" applyNumberFormats="0" applyBorderFormats="0" applyFontFormats="0" applyPatternFormats="0" applyAlignmentFormats="0" applyWidthHeightFormats="0">
  <queryTableRefresh nextId="378">
    <queryTableFields count="14">
      <queryTableField id="1" name="Date" tableColumnId="1"/>
      <queryTableField id="8" name="Australia" tableColumnId="8"/>
      <queryTableField id="7" name="Canada" tableColumnId="7"/>
      <queryTableField id="95" name="China" tableColumnId="95"/>
      <queryTableField id="100" name="Denmark" tableColumnId="100"/>
      <queryTableField id="98" name="France" tableColumnId="98"/>
      <queryTableField id="376" name="Germany" tableColumnId="2"/>
      <queryTableField id="96" name="Iran" tableColumnId="96"/>
      <queryTableField id="16" name="Italy" tableColumnId="16"/>
      <queryTableField id="3" name="Japan" tableColumnId="3"/>
      <queryTableField id="97" name="Korea, South" tableColumnId="97"/>
      <queryTableField id="90" name="US" tableColumnId="90"/>
      <queryTableField id="108" name="United Kingdom" tableColumnId="108"/>
      <queryTableField id="154" name="Total" tableColumnId="15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08DBD43E-A469-4C16-A68C-DB23DD4F8315}" autoFormatId="16" applyNumberFormats="0" applyBorderFormats="0" applyFontFormats="0" applyPatternFormats="0" applyAlignmentFormats="0" applyWidthHeightFormats="0">
  <queryTableRefresh nextId="122">
    <queryTableFields count="64">
      <queryTableField id="1" name="Country/Region" tableColumnId="1"/>
      <queryTableField id="59" name="1/22/20" tableColumnId="59"/>
      <queryTableField id="60" name="1/23/20" tableColumnId="60"/>
      <queryTableField id="61" name="1/24/20" tableColumnId="61"/>
      <queryTableField id="62" name="1/25/20" tableColumnId="62"/>
      <queryTableField id="63" name="1/26/20" tableColumnId="63"/>
      <queryTableField id="64" name="1/27/20" tableColumnId="64"/>
      <queryTableField id="65" name="1/28/20" tableColumnId="65"/>
      <queryTableField id="66" name="1/29/20" tableColumnId="66"/>
      <queryTableField id="67" name="1/30/20" tableColumnId="67"/>
      <queryTableField id="68" name="1/31/20" tableColumnId="68"/>
      <queryTableField id="69" name="2/1/20" tableColumnId="69"/>
      <queryTableField id="70" name="2/2/20" tableColumnId="70"/>
      <queryTableField id="71" name="2/3/20" tableColumnId="71"/>
      <queryTableField id="72" name="2/4/20" tableColumnId="72"/>
      <queryTableField id="73" name="2/5/20" tableColumnId="73"/>
      <queryTableField id="74" name="2/6/20" tableColumnId="74"/>
      <queryTableField id="75" name="2/7/20" tableColumnId="75"/>
      <queryTableField id="76" name="2/8/20" tableColumnId="76"/>
      <queryTableField id="77" name="2/9/20" tableColumnId="77"/>
      <queryTableField id="78" name="2/10/20" tableColumnId="78"/>
      <queryTableField id="79" name="2/11/20" tableColumnId="79"/>
      <queryTableField id="80" name="2/12/20" tableColumnId="80"/>
      <queryTableField id="81" name="2/13/20" tableColumnId="81"/>
      <queryTableField id="82" name="2/14/20" tableColumnId="82"/>
      <queryTableField id="83" name="2/15/20" tableColumnId="83"/>
      <queryTableField id="84" name="2/16/20" tableColumnId="84"/>
      <queryTableField id="85" name="2/17/20" tableColumnId="85"/>
      <queryTableField id="86" name="2/18/20" tableColumnId="86"/>
      <queryTableField id="87" name="2/19/20" tableColumnId="87"/>
      <queryTableField id="88" name="2/20/20" tableColumnId="88"/>
      <queryTableField id="89" name="2/21/20" tableColumnId="89"/>
      <queryTableField id="90" name="2/22/20" tableColumnId="90"/>
      <queryTableField id="91" name="2/23/20" tableColumnId="91"/>
      <queryTableField id="92" name="2/24/20" tableColumnId="92"/>
      <queryTableField id="93" name="2/25/20" tableColumnId="93"/>
      <queryTableField id="94" name="2/26/20" tableColumnId="94"/>
      <queryTableField id="95" name="2/27/20" tableColumnId="95"/>
      <queryTableField id="96" name="2/28/20" tableColumnId="96"/>
      <queryTableField id="97" name="2/29/20" tableColumnId="97"/>
      <queryTableField id="98" name="3/1/20" tableColumnId="98"/>
      <queryTableField id="99" name="3/2/20" tableColumnId="99"/>
      <queryTableField id="100" name="3/3/20" tableColumnId="100"/>
      <queryTableField id="101" name="3/4/20" tableColumnId="101"/>
      <queryTableField id="102" name="3/5/20" tableColumnId="102"/>
      <queryTableField id="103" name="3/6/20" tableColumnId="103"/>
      <queryTableField id="104" name="3/7/20" tableColumnId="104"/>
      <queryTableField id="105" name="3/8/20" tableColumnId="105"/>
      <queryTableField id="106" name="3/9/20" tableColumnId="106"/>
      <queryTableField id="107" name="3/10/20" tableColumnId="107"/>
      <queryTableField id="108" name="3/11/20" tableColumnId="108"/>
      <queryTableField id="109" name="3/12/20" tableColumnId="109"/>
      <queryTableField id="110" name="3/13/20" tableColumnId="110"/>
      <queryTableField id="111" name="3/14/20" tableColumnId="111"/>
      <queryTableField id="112" name="3/15/20" tableColumnId="112"/>
      <queryTableField id="113" name="3/16/20" tableColumnId="113"/>
      <queryTableField id="114" name="3/17/20" tableColumnId="114"/>
      <queryTableField id="115" name="3/18/20" tableColumnId="115"/>
      <queryTableField id="116" name="3/19/20" tableColumnId="2"/>
      <queryTableField id="117" name="3/20/20" tableColumnId="3"/>
      <queryTableField id="118" name="3/21/20" tableColumnId="4"/>
      <queryTableField id="119" name="3/22/20" tableColumnId="5"/>
      <queryTableField id="120" name="3/23/20" tableColumnId="6"/>
      <queryTableField id="121" name="3/24/20" tableColumnId="7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6665CE59-6D30-496C-904D-61D73876D856}" autoFormatId="16" applyNumberFormats="0" applyBorderFormats="0" applyFontFormats="0" applyPatternFormats="0" applyAlignmentFormats="0" applyWidthHeightFormats="0">
  <queryTableRefresh nextId="2">
    <queryTableFields count="1">
      <queryTableField id="1" name="CountryList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00000000-0016-0000-0000-000000000000}" autoFormatId="16" applyNumberFormats="0" applyBorderFormats="0" applyFontFormats="0" applyPatternFormats="0" applyAlignmentFormats="0" applyWidthHeightFormats="0">
  <queryTableRefresh nextId="122">
    <queryTableFields count="67">
      <queryTableField id="55" name="Province/State" tableColumnId="55"/>
      <queryTableField id="56" name="Country/Region" tableColumnId="56"/>
      <queryTableField id="57" name="Lat" tableColumnId="57"/>
      <queryTableField id="58" name="Long" tableColumnId="58"/>
      <queryTableField id="59" name="1/22/20" tableColumnId="59"/>
      <queryTableField id="60" name="1/23/20" tableColumnId="60"/>
      <queryTableField id="61" name="1/24/20" tableColumnId="61"/>
      <queryTableField id="62" name="1/25/20" tableColumnId="62"/>
      <queryTableField id="63" name="1/26/20" tableColumnId="63"/>
      <queryTableField id="64" name="1/27/20" tableColumnId="64"/>
      <queryTableField id="65" name="1/28/20" tableColumnId="65"/>
      <queryTableField id="66" name="1/29/20" tableColumnId="66"/>
      <queryTableField id="67" name="1/30/20" tableColumnId="67"/>
      <queryTableField id="68" name="1/31/20" tableColumnId="68"/>
      <queryTableField id="69" name="2/1/20" tableColumnId="69"/>
      <queryTableField id="70" name="2/2/20" tableColumnId="70"/>
      <queryTableField id="71" name="2/3/20" tableColumnId="71"/>
      <queryTableField id="72" name="2/4/20" tableColumnId="72"/>
      <queryTableField id="73" name="2/5/20" tableColumnId="73"/>
      <queryTableField id="74" name="2/6/20" tableColumnId="74"/>
      <queryTableField id="75" name="2/7/20" tableColumnId="75"/>
      <queryTableField id="76" name="2/8/20" tableColumnId="76"/>
      <queryTableField id="77" name="2/9/20" tableColumnId="77"/>
      <queryTableField id="78" name="2/10/20" tableColumnId="78"/>
      <queryTableField id="79" name="2/11/20" tableColumnId="79"/>
      <queryTableField id="80" name="2/12/20" tableColumnId="80"/>
      <queryTableField id="81" name="2/13/20" tableColumnId="81"/>
      <queryTableField id="82" name="2/14/20" tableColumnId="82"/>
      <queryTableField id="83" name="2/15/20" tableColumnId="83"/>
      <queryTableField id="84" name="2/16/20" tableColumnId="84"/>
      <queryTableField id="85" name="2/17/20" tableColumnId="85"/>
      <queryTableField id="86" name="2/18/20" tableColumnId="86"/>
      <queryTableField id="87" name="2/19/20" tableColumnId="87"/>
      <queryTableField id="88" name="2/20/20" tableColumnId="88"/>
      <queryTableField id="89" name="2/21/20" tableColumnId="89"/>
      <queryTableField id="90" name="2/22/20" tableColumnId="90"/>
      <queryTableField id="91" name="2/23/20" tableColumnId="91"/>
      <queryTableField id="92" name="2/24/20" tableColumnId="92"/>
      <queryTableField id="93" name="2/25/20" tableColumnId="93"/>
      <queryTableField id="94" name="2/26/20" tableColumnId="94"/>
      <queryTableField id="95" name="2/27/20" tableColumnId="95"/>
      <queryTableField id="96" name="2/28/20" tableColumnId="96"/>
      <queryTableField id="97" name="2/29/20" tableColumnId="97"/>
      <queryTableField id="98" name="3/1/20" tableColumnId="98"/>
      <queryTableField id="99" name="3/2/20" tableColumnId="99"/>
      <queryTableField id="100" name="3/3/20" tableColumnId="100"/>
      <queryTableField id="101" name="3/4/20" tableColumnId="101"/>
      <queryTableField id="102" name="3/5/20" tableColumnId="102"/>
      <queryTableField id="103" name="3/6/20" tableColumnId="103"/>
      <queryTableField id="104" name="3/7/20" tableColumnId="104"/>
      <queryTableField id="105" name="3/8/20" tableColumnId="105"/>
      <queryTableField id="106" name="3/9/20" tableColumnId="106"/>
      <queryTableField id="107" name="3/10/20" tableColumnId="107"/>
      <queryTableField id="108" name="3/11/20" tableColumnId="108"/>
      <queryTableField id="109" name="3/12/20" tableColumnId="1"/>
      <queryTableField id="110" name="3/13/20" tableColumnId="2"/>
      <queryTableField id="111" name="3/14/20" tableColumnId="3"/>
      <queryTableField id="112" name="3/15/20" tableColumnId="4"/>
      <queryTableField id="113" name="3/16/20" tableColumnId="5"/>
      <queryTableField id="114" name="3/17/20" tableColumnId="6"/>
      <queryTableField id="115" name="3/18/20" tableColumnId="7"/>
      <queryTableField id="116" name="3/19/20" tableColumnId="8"/>
      <queryTableField id="117" name="3/20/20" tableColumnId="9"/>
      <queryTableField id="118" name="3/21/20" tableColumnId="10"/>
      <queryTableField id="119" name="3/22/20" tableColumnId="11"/>
      <queryTableField id="120" name="3/23/20" tableColumnId="12"/>
      <queryTableField id="121" name="3/24/20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3CBBE7-CBE6-4861-95EA-20EB7653252C}" name="Australia_Per_State_Deaths" displayName="Australia_Per_State_Deaths" ref="A1:J32" tableType="queryTable" totalsRowShown="0">
  <autoFilter ref="A1:J32" xr:uid="{F5A57303-9290-4C3B-8724-D9E248777F34}"/>
  <tableColumns count="10">
    <tableColumn id="1" xr3:uid="{AEA653AB-C80F-4AE4-B5A2-BB4E2F01F929}" uniqueName="1" name="Date" queryTableFieldId="1" dataDxfId="68"/>
    <tableColumn id="9" xr3:uid="{01EE53DA-A7B6-4201-8E41-E938AAAEDFA6}" uniqueName="9" name="Australian Capital Territory" queryTableFieldId="9"/>
    <tableColumn id="2" xr3:uid="{060628F2-69BB-467E-B45D-CB8D8C83101E}" uniqueName="2" name="New South Wales" queryTableFieldId="2"/>
    <tableColumn id="8" xr3:uid="{269ADDD4-47B8-4771-BEFE-6B314524080F}" uniqueName="8" name="Northern Territory" queryTableFieldId="8"/>
    <tableColumn id="4" xr3:uid="{A191208A-9BC5-411D-BB84-0EC0BF0B6585}" uniqueName="4" name="Queensland" queryTableFieldId="4"/>
    <tableColumn id="5" xr3:uid="{0E6D0E13-8646-4818-93D5-7089FF429B22}" uniqueName="5" name="South Australia" queryTableFieldId="5"/>
    <tableColumn id="7" xr3:uid="{F6B86BF7-A998-4AEB-B2AD-2FA164A4B062}" uniqueName="7" name="Tasmania" queryTableFieldId="7"/>
    <tableColumn id="3" xr3:uid="{06A68B8E-86BC-4C0A-A7E9-8CFD0041345B}" uniqueName="3" name="Victoria" queryTableFieldId="3"/>
    <tableColumn id="6" xr3:uid="{B10BBC20-364A-42C9-AE56-75488B800EEB}" uniqueName="6" name="Western Australia" queryTableFieldId="6"/>
    <tableColumn id="10" xr3:uid="{880A3D90-5F0C-4E2E-8211-DFD60849F819}" uniqueName="10" name="Total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7D00A8-973C-44B4-A6F7-E6BAB8AE5518}" name="Australia_Per_State" displayName="Australia_Per_State" ref="A1:J67" tableType="queryTable" totalsRowShown="0">
  <autoFilter ref="A1:J67" xr:uid="{60DA05AD-89AB-494C-A063-49FF036896DF}">
    <filterColumn colId="0">
      <filters>
        <dateGroupItem year="2020" month="3" day="7" dateTimeGrouping="day"/>
        <dateGroupItem year="2020" month="3" day="8" dateTimeGrouping="day"/>
        <dateGroupItem year="2020" month="3" day="9" dateTimeGrouping="day"/>
        <dateGroupItem year="2020" month="3" day="10" dateTimeGrouping="day"/>
        <dateGroupItem year="2020" month="3" day="11" dateTimeGrouping="day"/>
        <dateGroupItem year="2020" month="3" day="12" dateTimeGrouping="day"/>
        <dateGroupItem year="2020" month="3" day="13" dateTimeGrouping="day"/>
        <dateGroupItem year="2020" month="3" day="14" dateTimeGrouping="day"/>
        <dateGroupItem year="2020" month="3" day="15" dateTimeGrouping="day"/>
        <dateGroupItem year="2020" month="3" day="16" dateTimeGrouping="day"/>
        <dateGroupItem year="2020" month="3" day="17" dateTimeGrouping="day"/>
        <dateGroupItem year="2020" month="3" day="18" dateTimeGrouping="day"/>
        <dateGroupItem year="2020" month="3" day="19" dateTimeGrouping="day"/>
        <dateGroupItem year="2020" month="3" day="20" dateTimeGrouping="day"/>
        <dateGroupItem year="2020" month="3" day="21" dateTimeGrouping="day"/>
        <dateGroupItem year="2020" month="3" day="22" dateTimeGrouping="day"/>
        <dateGroupItem year="2020" month="3" day="23" dateTimeGrouping="day"/>
        <dateGroupItem year="2020" month="3" day="24" dateTimeGrouping="day"/>
        <dateGroupItem year="2020" month="3" day="25" dateTimeGrouping="day"/>
        <dateGroupItem year="2020" month="3" day="26" dateTimeGrouping="day"/>
        <dateGroupItem year="2020" month="3" day="27" dateTimeGrouping="day"/>
        <dateGroupItem year="2020" month="3" day="28" dateTimeGrouping="day"/>
        <dateGroupItem year="2020" month="3" day="29" dateTimeGrouping="day"/>
        <dateGroupItem year="2020" month="3" day="30" dateTimeGrouping="day"/>
        <dateGroupItem year="2020" month="3" day="31" dateTimeGrouping="day"/>
      </filters>
    </filterColumn>
  </autoFilter>
  <tableColumns count="10">
    <tableColumn id="10" xr3:uid="{320F9111-B61A-471B-8596-DBA06FD42044}" uniqueName="10" name="Date" queryTableFieldId="10" dataDxfId="67"/>
    <tableColumn id="8" xr3:uid="{626D18F7-55AD-4849-851C-251D166AF4EB}" uniqueName="8" name="Australian Capital Territory" queryTableFieldId="8"/>
    <tableColumn id="1" xr3:uid="{D6A3236E-F896-4CEA-838A-D2EC3ADF8A7D}" uniqueName="1" name="New South Wales" queryTableFieldId="1"/>
    <tableColumn id="7" xr3:uid="{49888D3A-A497-4E22-8C8C-32E65881B80B}" uniqueName="7" name="Northern Territory" queryTableFieldId="7"/>
    <tableColumn id="3" xr3:uid="{9DBD12A5-3912-45C0-B088-CCE70B305F73}" uniqueName="3" name="Queensland" queryTableFieldId="3"/>
    <tableColumn id="4" xr3:uid="{95FCBD91-BC0E-441D-B5AF-08D6B1815EAA}" uniqueName="4" name="South Australia" queryTableFieldId="4"/>
    <tableColumn id="6" xr3:uid="{EAC1DE6C-8295-4374-8D4B-7E009F9EC076}" uniqueName="6" name="Tasmania" queryTableFieldId="6"/>
    <tableColumn id="2" xr3:uid="{99BA28B9-C5B9-4EFA-8103-DDC4CB1E322B}" uniqueName="2" name="Victoria" queryTableFieldId="2"/>
    <tableColumn id="5" xr3:uid="{BB62F0CC-BC4D-4C69-8C77-9D1B3CEF6D6F}" uniqueName="5" name="Western Australia" queryTableFieldId="5"/>
    <tableColumn id="9" xr3:uid="{2FD86CBC-4D65-45A2-979A-9D47E6DF9EF6}" uniqueName="9" name="Total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EA2F6B-60CC-442D-A0F0-915FE9C8B423}" name="Deaths_Days_Since_Per_Unit_Population" displayName="Deaths_Days_Since_Per_Unit_Population" ref="A1:BL13" tableType="queryTable" totalsRowShown="0">
  <autoFilter ref="A1:BL13" xr:uid="{F140C6B5-ADEB-4F31-8D90-1A0F37AA5F33}"/>
  <sortState xmlns:xlrd2="http://schemas.microsoft.com/office/spreadsheetml/2017/richdata2" ref="A2:BL13">
    <sortCondition ref="A1:A13"/>
  </sortState>
  <tableColumns count="64">
    <tableColumn id="1" xr3:uid="{251CE479-255F-4D27-953E-15A5A51DACA9}" uniqueName="1" name="Country/Region" queryTableFieldId="1" dataDxfId="66"/>
    <tableColumn id="2" xr3:uid="{5C5AA88D-2776-4A22-9B0F-22D06D1061B0}" uniqueName="2" name="1" queryTableFieldId="2"/>
    <tableColumn id="3" xr3:uid="{7F9B5D35-481F-4857-B5EB-5D316A7846A2}" uniqueName="3" name="2" queryTableFieldId="3"/>
    <tableColumn id="4" xr3:uid="{5F9D365B-D8A9-4340-B140-F390F5BF0A23}" uniqueName="4" name="3" queryTableFieldId="4"/>
    <tableColumn id="5" xr3:uid="{69CA3D5E-A88D-426B-BE5B-C397C3DEE633}" uniqueName="5" name="4" queryTableFieldId="5"/>
    <tableColumn id="6" xr3:uid="{36A88160-42FC-4362-8593-239D9A78534F}" uniqueName="6" name="5" queryTableFieldId="6"/>
    <tableColumn id="7" xr3:uid="{AB1AD599-0217-4BF3-9C57-DA8358589E51}" uniqueName="7" name="6" queryTableFieldId="7"/>
    <tableColumn id="8" xr3:uid="{1ECADFB7-D34A-498A-AFD7-BB6B9F728906}" uniqueName="8" name="7" queryTableFieldId="8"/>
    <tableColumn id="9" xr3:uid="{F309F604-0640-43BF-A362-B74399770F87}" uniqueName="9" name="8" queryTableFieldId="9"/>
    <tableColumn id="10" xr3:uid="{0C882EB6-D497-4734-AAAC-619DB8DD06E0}" uniqueName="10" name="9" queryTableFieldId="10"/>
    <tableColumn id="11" xr3:uid="{AF2522E6-DC56-4C83-B9B6-514C5AAD4152}" uniqueName="11" name="10" queryTableFieldId="11"/>
    <tableColumn id="12" xr3:uid="{493814BC-8AF6-43E3-A30B-F5A866EA6F87}" uniqueName="12" name="11" queryTableFieldId="12"/>
    <tableColumn id="13" xr3:uid="{AA66DE4D-0FC9-418B-B267-34090E240FB5}" uniqueName="13" name="12" queryTableFieldId="13"/>
    <tableColumn id="14" xr3:uid="{EFC44B90-D288-402E-87D3-72909B24E0D0}" uniqueName="14" name="13" queryTableFieldId="14"/>
    <tableColumn id="15" xr3:uid="{BFF84C21-54A6-437E-A373-B1364B4C5CE8}" uniqueName="15" name="14" queryTableFieldId="15"/>
    <tableColumn id="16" xr3:uid="{763A2971-6DD3-4A90-87D9-32D23CA54B19}" uniqueName="16" name="15" queryTableFieldId="16"/>
    <tableColumn id="17" xr3:uid="{23C9792F-933A-4535-A730-75D4E8A089EA}" uniqueName="17" name="16" queryTableFieldId="17"/>
    <tableColumn id="18" xr3:uid="{15E68E53-7D5D-4694-AC95-64CAB7627488}" uniqueName="18" name="17" queryTableFieldId="18"/>
    <tableColumn id="19" xr3:uid="{BD129B99-3D5D-4A47-8779-B03E1C417FAF}" uniqueName="19" name="18" queryTableFieldId="19"/>
    <tableColumn id="20" xr3:uid="{48FBCCEF-1346-424E-A05F-A8B1B65E573E}" uniqueName="20" name="19" queryTableFieldId="20"/>
    <tableColumn id="21" xr3:uid="{0E439E52-0373-459A-ABCE-886A16724713}" uniqueName="21" name="20" queryTableFieldId="21"/>
    <tableColumn id="22" xr3:uid="{7BB9B9DB-1152-4ABE-A26D-D9AFA36F95AA}" uniqueName="22" name="21" queryTableFieldId="22"/>
    <tableColumn id="23" xr3:uid="{4B8B4BAF-3B3B-4F82-91CD-2D0B99F01F1A}" uniqueName="23" name="22" queryTableFieldId="23"/>
    <tableColumn id="24" xr3:uid="{7BFF4730-C34A-4800-A3A7-FBB1F56DB336}" uniqueName="24" name="23" queryTableFieldId="24"/>
    <tableColumn id="25" xr3:uid="{BB22625C-9F76-4FC1-B15C-89D58A1C598C}" uniqueName="25" name="24" queryTableFieldId="25"/>
    <tableColumn id="26" xr3:uid="{92589632-949B-4F8F-9B96-6B2A5A028646}" uniqueName="26" name="25" queryTableFieldId="26"/>
    <tableColumn id="27" xr3:uid="{FB09E9EE-A872-47DF-9350-784E3EF610ED}" uniqueName="27" name="26" queryTableFieldId="27"/>
    <tableColumn id="28" xr3:uid="{70445325-E505-4A6E-8891-94DCB843E7E3}" uniqueName="28" name="27" queryTableFieldId="28"/>
    <tableColumn id="29" xr3:uid="{9CB9881F-A9F3-4E9B-A515-35F640A63DA5}" uniqueName="29" name="28" queryTableFieldId="29"/>
    <tableColumn id="30" xr3:uid="{F0BD4D44-DD29-46F9-8230-0A2DD2F487CF}" uniqueName="30" name="29" queryTableFieldId="30"/>
    <tableColumn id="31" xr3:uid="{076CDD46-9FB5-4ED4-9840-A0C69D235C30}" uniqueName="31" name="30" queryTableFieldId="31"/>
    <tableColumn id="32" xr3:uid="{E9D1C136-C0EA-464D-B0FE-0EEFC99FBAF7}" uniqueName="32" name="31" queryTableFieldId="32"/>
    <tableColumn id="33" xr3:uid="{9D7CBE44-5D0E-47B5-AC9E-AA4790697170}" uniqueName="33" name="32" queryTableFieldId="33"/>
    <tableColumn id="34" xr3:uid="{773DB4E5-EA69-4A9A-8540-85393A4E9E46}" uniqueName="34" name="33" queryTableFieldId="34"/>
    <tableColumn id="35" xr3:uid="{FC037990-3335-460A-911B-1D9B5EA94777}" uniqueName="35" name="34" queryTableFieldId="35"/>
    <tableColumn id="36" xr3:uid="{061E2160-89C2-4789-9452-84F72A06BADB}" uniqueName="36" name="35" queryTableFieldId="36"/>
    <tableColumn id="37" xr3:uid="{2349780D-4753-4EC1-849F-82F195DDC6EC}" uniqueName="37" name="36" queryTableFieldId="37"/>
    <tableColumn id="38" xr3:uid="{2039BE5E-3E1B-4241-8FB5-F1B0C65880DF}" uniqueName="38" name="37" queryTableFieldId="38"/>
    <tableColumn id="39" xr3:uid="{D3F00B64-08CE-44C0-A8AC-D262234DF632}" uniqueName="39" name="38" queryTableFieldId="39"/>
    <tableColumn id="40" xr3:uid="{7907FF8D-4023-4C76-8A93-85E6BAC610BD}" uniqueName="40" name="39" queryTableFieldId="40"/>
    <tableColumn id="41" xr3:uid="{F0846878-5254-4346-8B90-534E81560E64}" uniqueName="41" name="40" queryTableFieldId="41"/>
    <tableColumn id="42" xr3:uid="{B9380B76-EEC0-494A-843D-F739CB210D23}" uniqueName="42" name="41" queryTableFieldId="42"/>
    <tableColumn id="43" xr3:uid="{43821F78-721C-445E-BB54-3A24DDB4A792}" uniqueName="43" name="42" queryTableFieldId="43"/>
    <tableColumn id="44" xr3:uid="{C0522E23-0439-479E-B69A-642EAB284432}" uniqueName="44" name="43" queryTableFieldId="44"/>
    <tableColumn id="45" xr3:uid="{E41F5670-E713-4093-B506-33146CA477DC}" uniqueName="45" name="44" queryTableFieldId="45"/>
    <tableColumn id="46" xr3:uid="{C49C9551-1E7C-4E15-8181-C87EEAE7E4FF}" uniqueName="46" name="45" queryTableFieldId="46"/>
    <tableColumn id="47" xr3:uid="{F024F426-2489-4779-BAFB-849013728B47}" uniqueName="47" name="46" queryTableFieldId="47"/>
    <tableColumn id="48" xr3:uid="{0FA7186C-6C87-46AE-8214-776C63848F66}" uniqueName="48" name="47" queryTableFieldId="48"/>
    <tableColumn id="49" xr3:uid="{7A6CC534-20CB-4EE1-B6CC-4A7AF2DD97C5}" uniqueName="49" name="48" queryTableFieldId="49"/>
    <tableColumn id="50" xr3:uid="{B1E8C2C5-D401-4274-AF55-26E4718E563B}" uniqueName="50" name="49" queryTableFieldId="50"/>
    <tableColumn id="51" xr3:uid="{306E2877-FC41-4C91-8879-48364C82AFB2}" uniqueName="51" name="50" queryTableFieldId="51"/>
    <tableColumn id="52" xr3:uid="{FD3FD5C3-74CC-46A2-9B59-74455DA92DE1}" uniqueName="52" name="51" queryTableFieldId="52"/>
    <tableColumn id="53" xr3:uid="{BE3953BD-1A7B-466B-9701-1E32D372A4D8}" uniqueName="53" name="52" queryTableFieldId="53"/>
    <tableColumn id="54" xr3:uid="{038FC8BD-3806-414E-8C69-021CB7E59050}" uniqueName="54" name="53" queryTableFieldId="54"/>
    <tableColumn id="55" xr3:uid="{653D9CC1-E3B7-4EE7-8E2F-EAE3CB44B40A}" uniqueName="55" name="54" queryTableFieldId="55"/>
    <tableColumn id="56" xr3:uid="{270665B8-1AC7-4D5E-9A83-7D07E9D97AFD}" uniqueName="56" name="55" queryTableFieldId="56"/>
    <tableColumn id="57" xr3:uid="{234CB378-90CB-4313-9CCE-3E2CF4B3A0D6}" uniqueName="57" name="56" queryTableFieldId="57"/>
    <tableColumn id="58" xr3:uid="{D2B51B8A-D255-40B8-84C8-F1EE6F1927CA}" uniqueName="58" name="57" queryTableFieldId="58"/>
    <tableColumn id="59" xr3:uid="{79687EAF-DB78-4CA9-99BF-F85DF70D7FF5}" uniqueName="59" name="58" queryTableFieldId="59"/>
    <tableColumn id="60" xr3:uid="{91904300-2785-4AFA-86DD-9C36C1FC454C}" uniqueName="60" name="59" queryTableFieldId="60"/>
    <tableColumn id="61" xr3:uid="{683F0364-70A4-47DD-8B2A-EA71908F4D13}" uniqueName="61" name="60" queryTableFieldId="61"/>
    <tableColumn id="62" xr3:uid="{0267F882-75A4-4D11-91D2-37EF211A64C0}" uniqueName="62" name="61" queryTableFieldId="62"/>
    <tableColumn id="63" xr3:uid="{72C4D71F-CB3E-40EF-9AEC-54A00CE7C2FA}" uniqueName="63" name="62" queryTableFieldId="63"/>
    <tableColumn id="64" xr3:uid="{31A5553B-DA43-4C80-9AB6-C50A1B960DA1}" uniqueName="64" name="63" queryTableFieldId="6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88B302-039E-4C47-9248-12C19A968268}" name="Deaths_Days_Since" displayName="Deaths_Days_Since" ref="A1:BL13" tableType="queryTable" totalsRowShown="0">
  <autoFilter ref="A1:BL13" xr:uid="{EAF81F8B-AB0F-4862-B720-C44CCF7076C7}"/>
  <sortState xmlns:xlrd2="http://schemas.microsoft.com/office/spreadsheetml/2017/richdata2" ref="A2:BL13">
    <sortCondition ref="A1:A13"/>
  </sortState>
  <tableColumns count="64">
    <tableColumn id="1" xr3:uid="{FCF5288C-7466-4AC8-9523-4D34142859E1}" uniqueName="1" name="Country/Region" queryTableFieldId="1" dataDxfId="65"/>
    <tableColumn id="2" xr3:uid="{5AEB0D9A-C1C2-45B2-8550-7016E3F1902C}" uniqueName="2" name="1" queryTableFieldId="2"/>
    <tableColumn id="11" xr3:uid="{B4FBDA2C-50C0-48EC-B245-BB80E52CCA02}" uniqueName="11" name="2" queryTableFieldId="11"/>
    <tableColumn id="12" xr3:uid="{00C2F486-C5EB-437A-975D-FFBFBE46163C}" uniqueName="12" name="3" queryTableFieldId="12"/>
    <tableColumn id="13" xr3:uid="{C4FE1BF0-CB31-41DD-8156-A1FAA5598C7D}" uniqueName="13" name="4" queryTableFieldId="13"/>
    <tableColumn id="14" xr3:uid="{E8A30E64-00BB-4A2E-A71C-8652CD0F5FE2}" uniqueName="14" name="5" queryTableFieldId="14"/>
    <tableColumn id="15" xr3:uid="{2CECEC2F-8527-478E-B033-145833B3FB13}" uniqueName="15" name="6" queryTableFieldId="15"/>
    <tableColumn id="16" xr3:uid="{A8E77568-DA70-4725-843C-5924688B8868}" uniqueName="16" name="7" queryTableFieldId="16"/>
    <tableColumn id="17" xr3:uid="{D5B86DCF-24FD-41BA-97D6-B162FD1EA47F}" uniqueName="17" name="8" queryTableFieldId="17"/>
    <tableColumn id="18" xr3:uid="{2188DA93-9EC0-4FBC-AE7B-ECF1C06686C6}" uniqueName="18" name="9" queryTableFieldId="18"/>
    <tableColumn id="19" xr3:uid="{61698334-7F1B-4099-A87B-76304566B7B5}" uniqueName="19" name="10" queryTableFieldId="19"/>
    <tableColumn id="3" xr3:uid="{297A62E2-BB73-4C82-8461-90299A7BF600}" uniqueName="3" name="11" queryTableFieldId="3"/>
    <tableColumn id="4" xr3:uid="{48BCEEAE-CA72-4CF5-986C-F78034803C25}" uniqueName="4" name="12" queryTableFieldId="4"/>
    <tableColumn id="5" xr3:uid="{B3E7CB1A-CBA3-4EAD-BFC0-832217E4B10B}" uniqueName="5" name="13" queryTableFieldId="5"/>
    <tableColumn id="6" xr3:uid="{86A80706-26FE-4333-9B0E-45E052059050}" uniqueName="6" name="14" queryTableFieldId="6"/>
    <tableColumn id="7" xr3:uid="{99217ADA-9D8E-4775-AAE0-36865A0575D6}" uniqueName="7" name="15" queryTableFieldId="7"/>
    <tableColumn id="8" xr3:uid="{9E6340F9-4789-4916-AA32-40D0D42D54BE}" uniqueName="8" name="16" queryTableFieldId="8"/>
    <tableColumn id="9" xr3:uid="{CC950F4D-549C-4D47-9222-6B2359B94840}" uniqueName="9" name="17" queryTableFieldId="9"/>
    <tableColumn id="10" xr3:uid="{524D0795-942B-405A-AD9E-2A8BF7C74DEA}" uniqueName="10" name="18" queryTableFieldId="10"/>
    <tableColumn id="28" xr3:uid="{C167C3B5-6FF8-423D-95DB-CF83EEA7A53A}" uniqueName="28" name="19" queryTableFieldId="28"/>
    <tableColumn id="29" xr3:uid="{2753930C-C159-4C66-AAE6-64A7FF5B7ECE}" uniqueName="29" name="20" queryTableFieldId="29"/>
    <tableColumn id="30" xr3:uid="{4420A584-97FD-4D97-B5D2-90D599BCAC87}" uniqueName="30" name="21" queryTableFieldId="30"/>
    <tableColumn id="31" xr3:uid="{42D4D889-4ED9-4E9E-9FC5-0606B87BA3D8}" uniqueName="31" name="22" queryTableFieldId="31"/>
    <tableColumn id="32" xr3:uid="{97A2BFF8-BFA4-4D84-A495-07B1E335BFA3}" uniqueName="32" name="23" queryTableFieldId="32"/>
    <tableColumn id="33" xr3:uid="{9C36587E-7DF5-4AE9-A9BC-EF02C004365C}" uniqueName="33" name="24" queryTableFieldId="33"/>
    <tableColumn id="34" xr3:uid="{B6EE6383-448C-43F0-AE8C-175514B1CC85}" uniqueName="34" name="25" queryTableFieldId="34"/>
    <tableColumn id="35" xr3:uid="{602260D0-5FDD-49F0-98C0-9B5CB068FEF1}" uniqueName="35" name="26" queryTableFieldId="35"/>
    <tableColumn id="36" xr3:uid="{0AD86559-6D79-407F-A50C-B3F6F03D5021}" uniqueName="36" name="27" queryTableFieldId="36"/>
    <tableColumn id="20" xr3:uid="{4FEFFFE8-F7F9-4590-AA76-B3C8932ED18F}" uniqueName="20" name="28" queryTableFieldId="20"/>
    <tableColumn id="21" xr3:uid="{42747C83-AA4E-4004-BD12-04751052DFFB}" uniqueName="21" name="29" queryTableFieldId="21"/>
    <tableColumn id="22" xr3:uid="{EB3F1540-0FC7-4943-90F9-C65AC9FB140B}" uniqueName="22" name="30" queryTableFieldId="22"/>
    <tableColumn id="23" xr3:uid="{4E6D0BC4-FBEE-4E30-83DA-D23409ACE794}" uniqueName="23" name="31" queryTableFieldId="23"/>
    <tableColumn id="24" xr3:uid="{04446D61-3E89-432E-9FB6-612DDF9A68F1}" uniqueName="24" name="32" queryTableFieldId="24"/>
    <tableColumn id="25" xr3:uid="{79A04FE8-18EA-4B8C-8FAE-B2D572BD78F6}" uniqueName="25" name="33" queryTableFieldId="25"/>
    <tableColumn id="26" xr3:uid="{CDEEB3D1-07E4-4930-BEF2-187C4B8A1540}" uniqueName="26" name="34" queryTableFieldId="26"/>
    <tableColumn id="27" xr3:uid="{70C6B279-18B5-47A3-A8F2-AF0C8E7ACE59}" uniqueName="27" name="35" queryTableFieldId="27"/>
    <tableColumn id="45" xr3:uid="{678F5B31-2A5C-4AEF-B4CD-BE970D76DE9F}" uniqueName="45" name="36" queryTableFieldId="45"/>
    <tableColumn id="46" xr3:uid="{EBCA6B5E-8FD9-4125-A4A2-018645F93453}" uniqueName="46" name="37" queryTableFieldId="46"/>
    <tableColumn id="47" xr3:uid="{F962E90D-4BAF-4126-A81C-BC7D43DE9D92}" uniqueName="47" name="38" queryTableFieldId="47"/>
    <tableColumn id="37" xr3:uid="{946FF30C-FD62-4B12-A07F-470EE4E1AB63}" uniqueName="37" name="39" queryTableFieldId="37"/>
    <tableColumn id="38" xr3:uid="{4C791E01-BAF8-4FEE-B94C-A37F0561253A}" uniqueName="38" name="40" queryTableFieldId="38"/>
    <tableColumn id="39" xr3:uid="{566AFE5D-492B-4EEB-AF06-7120D6814386}" uniqueName="39" name="41" queryTableFieldId="39"/>
    <tableColumn id="40" xr3:uid="{A5B9EF1D-79E5-4B76-A7CE-662B96D3339E}" uniqueName="40" name="42" queryTableFieldId="40"/>
    <tableColumn id="41" xr3:uid="{1B39F86F-38B8-4B04-A41D-311AAB0ABAB3}" uniqueName="41" name="43" queryTableFieldId="41"/>
    <tableColumn id="42" xr3:uid="{7A7D5BCD-26C4-4547-BE89-3355B3D74E77}" uniqueName="42" name="44" queryTableFieldId="42"/>
    <tableColumn id="43" xr3:uid="{8BA7F2DF-C7C8-42E6-9EC9-40ACBCB77F65}" uniqueName="43" name="45" queryTableFieldId="43"/>
    <tableColumn id="44" xr3:uid="{8A0C9E95-B44D-4506-A5A7-C49E277CB44E}" uniqueName="44" name="46" queryTableFieldId="44"/>
    <tableColumn id="56" xr3:uid="{E4AF707D-DC6D-4D59-B0B1-B3D93EC47E8E}" uniqueName="56" name="47" queryTableFieldId="56"/>
    <tableColumn id="57" xr3:uid="{4DA695C6-1AFA-4767-AF53-E0063C9F7029}" uniqueName="57" name="48" queryTableFieldId="57"/>
    <tableColumn id="58" xr3:uid="{A3B2DA2E-1EF9-4FC1-B24C-7E6C093C03B9}" uniqueName="58" name="49" queryTableFieldId="58"/>
    <tableColumn id="48" xr3:uid="{0F9ADEC2-C7C5-4977-B0CC-E67D0A711113}" uniqueName="48" name="50" queryTableFieldId="48"/>
    <tableColumn id="49" xr3:uid="{85566612-125A-4763-A364-A60309441467}" uniqueName="49" name="51" queryTableFieldId="49"/>
    <tableColumn id="50" xr3:uid="{CF66F12A-2653-48DA-87A8-70D428117F87}" uniqueName="50" name="52" queryTableFieldId="50"/>
    <tableColumn id="51" xr3:uid="{1AFA418F-1545-4B9E-8F0B-90F3C58755C4}" uniqueName="51" name="53" queryTableFieldId="51"/>
    <tableColumn id="52" xr3:uid="{1068F2C4-2322-44A7-8861-79862B9F7036}" uniqueName="52" name="54" queryTableFieldId="52"/>
    <tableColumn id="53" xr3:uid="{7FA0ECD8-C913-477C-A9D9-CD0A1C74EC23}" uniqueName="53" name="55" queryTableFieldId="53"/>
    <tableColumn id="54" xr3:uid="{5984F414-31CE-4DC8-AE45-6A568E660375}" uniqueName="54" name="56" queryTableFieldId="54"/>
    <tableColumn id="55" xr3:uid="{43D0FD6E-FBD7-4515-941A-B724A69288D7}" uniqueName="55" name="57" queryTableFieldId="55"/>
    <tableColumn id="59" xr3:uid="{903F1F73-B7BD-470D-95C4-085895C4FDCD}" uniqueName="59" name="58" queryTableFieldId="83"/>
    <tableColumn id="60" xr3:uid="{CE9D7C4A-3BB3-4940-8103-227546A99CC2}" uniqueName="60" name="59" queryTableFieldId="84"/>
    <tableColumn id="61" xr3:uid="{F1A8AEBC-A322-4AB6-9714-C46C246809B4}" uniqueName="61" name="60" queryTableFieldId="85"/>
    <tableColumn id="62" xr3:uid="{2AA728D9-B2EF-43F8-AE91-A66D2AE2FEB3}" uniqueName="62" name="61" queryTableFieldId="86"/>
    <tableColumn id="63" xr3:uid="{E9AFBF0B-480B-498E-A76E-643FC75C64B9}" uniqueName="63" name="62" queryTableFieldId="87"/>
    <tableColumn id="64" xr3:uid="{63476093-EFFE-4533-A83E-D974B71BDFD5}" uniqueName="64" name="63" queryTableFieldId="8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31777DD-1450-43F8-B794-88DE3F5A5B9F}" name="Deaths_Country_Totals" displayName="Deaths_Country_Totals" ref="A1:N64" tableType="queryTable" totalsRowShown="0">
  <autoFilter ref="A1:N64" xr:uid="{7FAB8BF6-0364-498C-8A68-42624A7D4673}"/>
  <tableColumns count="14">
    <tableColumn id="1" xr3:uid="{F8D690B0-DC91-4C25-94E5-0C942816DEDF}" uniqueName="1" name="Date" queryTableFieldId="1" dataDxfId="64"/>
    <tableColumn id="9" xr3:uid="{EAAE97F0-E8E3-4548-B511-1310A2CF57F7}" uniqueName="9" name="Australia" queryTableFieldId="9"/>
    <tableColumn id="28" xr3:uid="{11A93D5E-1993-4E80-B827-F701B4EB6D23}" uniqueName="28" name="Canada" queryTableFieldId="28"/>
    <tableColumn id="32" xr3:uid="{4A54C155-F866-41D9-9909-F30BB4195ECF}" uniqueName="32" name="China" queryTableFieldId="32"/>
    <tableColumn id="43" xr3:uid="{0326F113-B438-4C1D-A510-F16DC318672A}" uniqueName="43" name="Denmark" queryTableFieldId="43"/>
    <tableColumn id="55" xr3:uid="{CB9DB913-5DB2-49BD-8B2B-4620381BCA4A}" uniqueName="55" name="France" queryTableFieldId="55"/>
    <tableColumn id="2" xr3:uid="{086F1112-B20E-4F41-BC35-5B009284A886}" uniqueName="2" name="Germany" queryTableFieldId="190"/>
    <tableColumn id="71" xr3:uid="{FAE553D9-B4D2-4749-8A9C-F62541AED893}" uniqueName="71" name="Iran" queryTableFieldId="71"/>
    <tableColumn id="75" xr3:uid="{A2382411-6223-4BCE-A4EF-893D7BDDF63E}" uniqueName="75" name="Italy" queryTableFieldId="75"/>
    <tableColumn id="77" xr3:uid="{61DB6832-A93C-4FC6-9F3C-EF5A2166251D}" uniqueName="77" name="Japan" queryTableFieldId="77"/>
    <tableColumn id="81" xr3:uid="{20C1A608-5C95-4BF1-AF40-B64ECEF4E4EA}" uniqueName="81" name="Korea, South" queryTableFieldId="81"/>
    <tableColumn id="148" xr3:uid="{71FE0346-3A29-4A23-92C4-1CBAF949B365}" uniqueName="148" name="US" queryTableFieldId="148"/>
    <tableColumn id="151" xr3:uid="{C3DC5ED6-3AD0-4BDC-A0D1-55E2F0926C8D}" uniqueName="151" name="United Kingdom" queryTableFieldId="151"/>
    <tableColumn id="157" xr3:uid="{B0B9AE07-DEA8-4407-A95B-4AB8E453E2BB}" uniqueName="157" name="Total" queryTableFieldId="15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894493-4219-46FE-A6C7-A52D986BFDBE}" name="Deaths_Country_Grouped" displayName="Deaths_Country_Grouped" ref="A1:BL13" tableType="queryTable" totalsRowShown="0">
  <autoFilter ref="A1:BL13" xr:uid="{D0E7CEB3-1E3D-4048-8740-97FB6D48EE03}"/>
  <sortState xmlns:xlrd2="http://schemas.microsoft.com/office/spreadsheetml/2017/richdata2" ref="A2:BL13">
    <sortCondition ref="A1:A13"/>
  </sortState>
  <tableColumns count="64">
    <tableColumn id="1" xr3:uid="{A5F0DAFF-3452-41B0-9DFF-AC3E06F0ED81}" uniqueName="1" name="Country/Region" queryTableFieldId="1" dataDxfId="63"/>
    <tableColumn id="2" xr3:uid="{E609847B-85AA-4C16-9780-CABC9572E00C}" uniqueName="2" name="1/22/20" queryTableFieldId="2"/>
    <tableColumn id="3" xr3:uid="{3C5A5ED1-6F5E-4299-B84D-BB746AA66174}" uniqueName="3" name="1/23/20" queryTableFieldId="3"/>
    <tableColumn id="4" xr3:uid="{D005215D-9783-4446-9966-57ED96878C8F}" uniqueName="4" name="1/24/20" queryTableFieldId="4"/>
    <tableColumn id="5" xr3:uid="{5C73B888-3303-4CDE-BA84-B479E03A83C6}" uniqueName="5" name="1/25/20" queryTableFieldId="5"/>
    <tableColumn id="6" xr3:uid="{5C62FC88-2AAA-44FD-B6A0-207A7EC52CFA}" uniqueName="6" name="1/26/20" queryTableFieldId="6"/>
    <tableColumn id="7" xr3:uid="{05557180-EA70-4CDB-9F62-93098E6AE03B}" uniqueName="7" name="1/27/20" queryTableFieldId="7"/>
    <tableColumn id="8" xr3:uid="{170C11FB-170C-41EB-A4C6-53F6343423EF}" uniqueName="8" name="1/28/20" queryTableFieldId="8"/>
    <tableColumn id="9" xr3:uid="{58E842CB-8C39-41EA-AE37-53786E8D74A3}" uniqueName="9" name="1/29/20" queryTableFieldId="9"/>
    <tableColumn id="10" xr3:uid="{035B38A4-327D-4B72-AD0E-6CF131EC440E}" uniqueName="10" name="1/30/20" queryTableFieldId="10"/>
    <tableColumn id="11" xr3:uid="{3C40E2CA-1E8C-446F-B73E-71E3A3260994}" uniqueName="11" name="1/31/20" queryTableFieldId="11"/>
    <tableColumn id="12" xr3:uid="{455DB313-0681-43AC-AE50-4CE54B404F2F}" uniqueName="12" name="2/1/20" queryTableFieldId="12"/>
    <tableColumn id="13" xr3:uid="{27333776-51CA-406A-9797-778D8136E07C}" uniqueName="13" name="2/2/20" queryTableFieldId="13"/>
    <tableColumn id="14" xr3:uid="{C8432AF0-CE5A-4CF2-B3CA-E9919D32ED06}" uniqueName="14" name="2/3/20" queryTableFieldId="14"/>
    <tableColumn id="15" xr3:uid="{6FC22674-D680-40AF-BE36-4CDF304B8F0A}" uniqueName="15" name="2/4/20" queryTableFieldId="15"/>
    <tableColumn id="16" xr3:uid="{CE1133BA-8676-4B4D-B133-A218061D545F}" uniqueName="16" name="2/5/20" queryTableFieldId="16"/>
    <tableColumn id="17" xr3:uid="{259E2251-35D4-45C4-8A04-29D4AFA98E56}" uniqueName="17" name="2/6/20" queryTableFieldId="17"/>
    <tableColumn id="18" xr3:uid="{B3A11660-B306-4DE8-8807-DE383EC6D13F}" uniqueName="18" name="2/7/20" queryTableFieldId="18"/>
    <tableColumn id="19" xr3:uid="{D72FE6AF-0D0E-420E-B104-9E961F53F9EA}" uniqueName="19" name="2/8/20" queryTableFieldId="19"/>
    <tableColumn id="20" xr3:uid="{2A181F8D-FC12-4E71-AEF1-03CB892C2C6B}" uniqueName="20" name="2/9/20" queryTableFieldId="20"/>
    <tableColumn id="21" xr3:uid="{E77E1953-1278-4E75-9F12-E69C329960B9}" uniqueName="21" name="2/10/20" queryTableFieldId="21"/>
    <tableColumn id="22" xr3:uid="{1FB52934-06F5-4AF2-B7AC-E3F2D17A1636}" uniqueName="22" name="2/11/20" queryTableFieldId="22"/>
    <tableColumn id="23" xr3:uid="{686CB5CB-8C2F-4CFF-AC76-AD9698BFD55A}" uniqueName="23" name="2/12/20" queryTableFieldId="23"/>
    <tableColumn id="24" xr3:uid="{B1F4CBCE-0669-4171-AEBA-6F91209106F9}" uniqueName="24" name="2/13/20" queryTableFieldId="24"/>
    <tableColumn id="25" xr3:uid="{9FAB894C-8FE9-4C2F-B51F-86401A0F5030}" uniqueName="25" name="2/14/20" queryTableFieldId="25"/>
    <tableColumn id="26" xr3:uid="{4AED626F-279E-442A-AA49-0AFBA61092D7}" uniqueName="26" name="2/15/20" queryTableFieldId="26"/>
    <tableColumn id="27" xr3:uid="{9E6BB535-874F-4E28-86B8-C1FA3B5A5E21}" uniqueName="27" name="2/16/20" queryTableFieldId="27"/>
    <tableColumn id="28" xr3:uid="{DE85C353-9453-4CC0-936B-9D8F03F1938B}" uniqueName="28" name="2/17/20" queryTableFieldId="28"/>
    <tableColumn id="29" xr3:uid="{B558D7B6-0E5B-4FDF-8794-D1F9B2321927}" uniqueName="29" name="2/18/20" queryTableFieldId="29"/>
    <tableColumn id="30" xr3:uid="{E99A885B-3CDB-4FE1-87E1-E1E6392F6F29}" uniqueName="30" name="2/19/20" queryTableFieldId="30"/>
    <tableColumn id="31" xr3:uid="{809AE463-2056-4C96-92CA-87D3A1D85B69}" uniqueName="31" name="2/20/20" queryTableFieldId="31"/>
    <tableColumn id="32" xr3:uid="{D98C995B-5FC0-4227-A717-6807935FBCAE}" uniqueName="32" name="2/21/20" queryTableFieldId="32"/>
    <tableColumn id="33" xr3:uid="{976545AF-E48C-4F5A-B420-FBEE8CB00533}" uniqueName="33" name="2/22/20" queryTableFieldId="33"/>
    <tableColumn id="34" xr3:uid="{8D744596-9B38-4EEA-ACE7-2F38FF7EFDB6}" uniqueName="34" name="2/23/20" queryTableFieldId="34"/>
    <tableColumn id="35" xr3:uid="{F917445E-6E4E-4963-8848-D50DDC5BBAF5}" uniqueName="35" name="2/24/20" queryTableFieldId="35"/>
    <tableColumn id="36" xr3:uid="{404DE72B-A356-4121-8E3C-6057F95A0696}" uniqueName="36" name="2/25/20" queryTableFieldId="36"/>
    <tableColumn id="37" xr3:uid="{34DAB7D4-6D4E-4892-983B-71D1F81A7DDF}" uniqueName="37" name="2/26/20" queryTableFieldId="37"/>
    <tableColumn id="38" xr3:uid="{A23018D0-3A22-4AC0-8E2E-AEC441240C8B}" uniqueName="38" name="2/27/20" queryTableFieldId="38"/>
    <tableColumn id="39" xr3:uid="{546F025B-9217-4B55-90F9-55BE6D62FBFB}" uniqueName="39" name="2/28/20" queryTableFieldId="39"/>
    <tableColumn id="40" xr3:uid="{BD46110C-FCD6-4F97-9E30-E4ECFEF737B9}" uniqueName="40" name="2/29/20" queryTableFieldId="40"/>
    <tableColumn id="41" xr3:uid="{FE2833B5-AFDD-4EB2-8CF6-11FF62E7F3E7}" uniqueName="41" name="3/1/20" queryTableFieldId="41"/>
    <tableColumn id="42" xr3:uid="{CCD46C3A-AB6A-4DA2-9EC0-190214C607BF}" uniqueName="42" name="3/2/20" queryTableFieldId="42"/>
    <tableColumn id="43" xr3:uid="{06FF18D9-1A5B-4DA6-88CD-004024DCDC56}" uniqueName="43" name="3/3/20" queryTableFieldId="43"/>
    <tableColumn id="44" xr3:uid="{CB8687C5-8CAE-48C0-A79E-1FD993C7F0E5}" uniqueName="44" name="3/4/20" queryTableFieldId="44"/>
    <tableColumn id="45" xr3:uid="{27E6F91E-CDCB-4AFB-B350-1497687258B9}" uniqueName="45" name="3/5/20" queryTableFieldId="45"/>
    <tableColumn id="46" xr3:uid="{AAB465E9-FA83-4C7C-895F-6FDECE2D61F8}" uniqueName="46" name="3/6/20" queryTableFieldId="46"/>
    <tableColumn id="47" xr3:uid="{A785D789-29A4-41E9-933E-ECD670E400B9}" uniqueName="47" name="3/7/20" queryTableFieldId="47"/>
    <tableColumn id="48" xr3:uid="{D00E91C0-1AE3-4E3F-9E6F-FBD116CE4822}" uniqueName="48" name="3/8/20" queryTableFieldId="48"/>
    <tableColumn id="49" xr3:uid="{CD54E31C-64C0-459D-9B59-2415B2BDC44C}" uniqueName="49" name="3/9/20" queryTableFieldId="49"/>
    <tableColumn id="50" xr3:uid="{143481C0-FA4F-4897-BAC1-8C7170EB0431}" uniqueName="50" name="3/10/20" queryTableFieldId="50"/>
    <tableColumn id="51" xr3:uid="{B1D9611E-D9A6-4F36-9869-3E4206BF5F31}" uniqueName="51" name="3/11/20" queryTableFieldId="51"/>
    <tableColumn id="52" xr3:uid="{8CEEC17B-7A6B-47B3-A627-2A7202259A96}" uniqueName="52" name="3/12/20" queryTableFieldId="52"/>
    <tableColumn id="53" xr3:uid="{79DD12C0-EFCE-41A0-84D5-DAAF16A263F6}" uniqueName="53" name="3/13/20" queryTableFieldId="53"/>
    <tableColumn id="54" xr3:uid="{E042F2C1-D87F-47F7-B5C9-2A2301DD1A78}" uniqueName="54" name="3/14/20" queryTableFieldId="54"/>
    <tableColumn id="55" xr3:uid="{C97C58E5-C0FE-4517-9E08-AF82B47CA7A5}" uniqueName="55" name="3/15/20" queryTableFieldId="55"/>
    <tableColumn id="56" xr3:uid="{34D14BBD-B05D-4F5C-9D3F-96500C61A50D}" uniqueName="56" name="3/16/20" queryTableFieldId="56"/>
    <tableColumn id="57" xr3:uid="{F3C5F1FE-D8E0-4FE3-BF47-A0CD988BDD8D}" uniqueName="57" name="3/17/20" queryTableFieldId="57"/>
    <tableColumn id="58" xr3:uid="{B29499E8-ECFA-49E4-AD95-AEC7F0695FE5}" uniqueName="58" name="3/18/20" queryTableFieldId="58"/>
    <tableColumn id="59" xr3:uid="{BFBD6926-0ABB-4935-A8ED-0E90A0EE16EF}" uniqueName="59" name="3/19/20" queryTableFieldId="59"/>
    <tableColumn id="60" xr3:uid="{F8370C18-9DC0-4867-B80D-8F80A6863F66}" uniqueName="60" name="3/20/20" queryTableFieldId="60"/>
    <tableColumn id="61" xr3:uid="{9DC6F26F-C0A8-43EF-93A8-463DB1D9C537}" uniqueName="61" name="3/21/20" queryTableFieldId="61"/>
    <tableColumn id="62" xr3:uid="{D5284FF2-36B4-48C8-924B-5E1DCA5C82DB}" uniqueName="62" name="3/22/20" queryTableFieldId="62"/>
    <tableColumn id="63" xr3:uid="{A2A4F08D-8F74-4513-AC6A-03EE0D289B70}" uniqueName="63" name="3/23/20" queryTableFieldId="63"/>
    <tableColumn id="64" xr3:uid="{C0A45C1C-DB00-4EDE-B4E4-1F008EDC8A87}" uniqueName="64" name="3/24/20" queryTableFieldId="6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4AC399-B8EC-4F78-8CD5-69A29EF8CFB9}" name="Deaths" displayName="Deaths" ref="A1:BO81" tableType="queryTable" totalsRowShown="0">
  <autoFilter ref="A1:BO81" xr:uid="{98400E2D-11FB-42F4-A3DD-D070EED0A2F0}"/>
  <sortState xmlns:xlrd2="http://schemas.microsoft.com/office/spreadsheetml/2017/richdata2" ref="A2:BO81">
    <sortCondition ref="B1:B81"/>
  </sortState>
  <tableColumns count="67">
    <tableColumn id="1" xr3:uid="{B70D77FE-EE23-4D6A-B28B-AC509268222B}" uniqueName="1" name="Province/State" queryTableFieldId="1" dataDxfId="62"/>
    <tableColumn id="2" xr3:uid="{D75024E3-03CC-401F-859C-7F943F791059}" uniqueName="2" name="Country/Region" queryTableFieldId="2" dataDxfId="61"/>
    <tableColumn id="3" xr3:uid="{E5372ABC-C046-4ED3-85AD-8DA3E9B5771F}" uniqueName="3" name="Lat" queryTableFieldId="3"/>
    <tableColumn id="4" xr3:uid="{1A7FF3FD-997B-4F31-921B-F9965710875B}" uniqueName="4" name="Long" queryTableFieldId="4"/>
    <tableColumn id="5" xr3:uid="{2CA1504B-F671-4445-B8AF-298AB8F07D8F}" uniqueName="5" name="1/22/20" queryTableFieldId="5"/>
    <tableColumn id="6" xr3:uid="{3FE0EF07-DC90-421C-A396-D01022D7937A}" uniqueName="6" name="1/23/20" queryTableFieldId="6"/>
    <tableColumn id="7" xr3:uid="{1B7BF1D4-AE6C-4C30-AE4D-8FED6B77D148}" uniqueName="7" name="1/24/20" queryTableFieldId="7"/>
    <tableColumn id="8" xr3:uid="{B918F422-2452-45F5-BA1C-F3876A77CCDA}" uniqueName="8" name="1/25/20" queryTableFieldId="8"/>
    <tableColumn id="9" xr3:uid="{B74588E9-86EF-41C3-8AA7-49121B020781}" uniqueName="9" name="1/26/20" queryTableFieldId="9"/>
    <tableColumn id="10" xr3:uid="{12DD634F-6B63-4563-A818-955E43807730}" uniqueName="10" name="1/27/20" queryTableFieldId="10"/>
    <tableColumn id="11" xr3:uid="{017B3280-BB2D-4D03-908C-A59EFE293C82}" uniqueName="11" name="1/28/20" queryTableFieldId="11"/>
    <tableColumn id="12" xr3:uid="{D2E2A182-83A1-4789-B729-799D9806D936}" uniqueName="12" name="1/29/20" queryTableFieldId="12"/>
    <tableColumn id="13" xr3:uid="{EE89106F-DA70-439B-9722-17A858D64D5D}" uniqueName="13" name="1/30/20" queryTableFieldId="13"/>
    <tableColumn id="14" xr3:uid="{0195DFA3-8439-4E6B-BDE9-BF4415C51477}" uniqueName="14" name="1/31/20" queryTableFieldId="14"/>
    <tableColumn id="15" xr3:uid="{DE2071CD-8E1B-444F-A4F8-ED93DFEEF219}" uniqueName="15" name="2/1/20" queryTableFieldId="15"/>
    <tableColumn id="16" xr3:uid="{063462E2-BBDC-4139-924B-25E57A55937D}" uniqueName="16" name="2/2/20" queryTableFieldId="16"/>
    <tableColumn id="17" xr3:uid="{22CB8480-CA26-4702-91EE-68C75849D4A9}" uniqueName="17" name="2/3/20" queryTableFieldId="17"/>
    <tableColumn id="18" xr3:uid="{E4F0F65A-DB44-49F0-921E-3836176596D3}" uniqueName="18" name="2/4/20" queryTableFieldId="18"/>
    <tableColumn id="19" xr3:uid="{31870796-D98C-4B74-934B-A8B051FC8663}" uniqueName="19" name="2/5/20" queryTableFieldId="19"/>
    <tableColumn id="20" xr3:uid="{BEC14E2A-3247-4916-98F7-09F5534410D1}" uniqueName="20" name="2/6/20" queryTableFieldId="20"/>
    <tableColumn id="21" xr3:uid="{0956F835-33AE-47C6-80B5-0B9947E913E9}" uniqueName="21" name="2/7/20" queryTableFieldId="21"/>
    <tableColumn id="22" xr3:uid="{36D3B5AF-BC39-4894-A99D-686641163F33}" uniqueName="22" name="2/8/20" queryTableFieldId="22"/>
    <tableColumn id="23" xr3:uid="{333A277F-0782-4C31-8934-227B89B8AEC5}" uniqueName="23" name="2/9/20" queryTableFieldId="23"/>
    <tableColumn id="24" xr3:uid="{0F692FB7-65D7-4ECE-A055-5E1A1349AEF7}" uniqueName="24" name="2/10/20" queryTableFieldId="24"/>
    <tableColumn id="25" xr3:uid="{405C7C2A-4014-4F2A-9923-770725D707F4}" uniqueName="25" name="2/11/20" queryTableFieldId="25"/>
    <tableColumn id="26" xr3:uid="{110A2DD7-C1DE-4F56-92BA-1ADD501F4923}" uniqueName="26" name="2/12/20" queryTableFieldId="26"/>
    <tableColumn id="27" xr3:uid="{881878A6-C164-44D7-B988-F5ADD81510E7}" uniqueName="27" name="2/13/20" queryTableFieldId="27"/>
    <tableColumn id="28" xr3:uid="{B23C6578-64C2-4B9A-83F0-F4D5F23B5FBD}" uniqueName="28" name="2/14/20" queryTableFieldId="28"/>
    <tableColumn id="29" xr3:uid="{9D8975FD-5052-41A5-A388-8707076F588A}" uniqueName="29" name="2/15/20" queryTableFieldId="29"/>
    <tableColumn id="30" xr3:uid="{EA198299-CE6D-4F91-9825-57F979D840BA}" uniqueName="30" name="2/16/20" queryTableFieldId="30"/>
    <tableColumn id="31" xr3:uid="{DD89433C-9589-4DE6-BAB0-3B12824FDD3E}" uniqueName="31" name="2/17/20" queryTableFieldId="31"/>
    <tableColumn id="32" xr3:uid="{7A6F5896-0CA5-4B6B-BE91-0F51A184130B}" uniqueName="32" name="2/18/20" queryTableFieldId="32"/>
    <tableColumn id="33" xr3:uid="{9D324483-5EB1-4F74-80CB-4FE2301F997A}" uniqueName="33" name="2/19/20" queryTableFieldId="33"/>
    <tableColumn id="34" xr3:uid="{81655E37-08E7-47CA-AB01-8A57EF6808AC}" uniqueName="34" name="2/20/20" queryTableFieldId="34"/>
    <tableColumn id="35" xr3:uid="{32EABC25-F758-410E-85C3-00CE8399956A}" uniqueName="35" name="2/21/20" queryTableFieldId="35"/>
    <tableColumn id="36" xr3:uid="{EC442211-9740-40EE-A52C-7EF894F7D0A2}" uniqueName="36" name="2/22/20" queryTableFieldId="36"/>
    <tableColumn id="37" xr3:uid="{A629B2CF-AC2F-42C3-BE29-C2B4EDC742BB}" uniqueName="37" name="2/23/20" queryTableFieldId="37"/>
    <tableColumn id="38" xr3:uid="{FBD2EF0E-1F18-4E2C-A50E-312FA7E16EDC}" uniqueName="38" name="2/24/20" queryTableFieldId="38"/>
    <tableColumn id="39" xr3:uid="{41A7755B-6FE4-4047-B0EA-F4AC82F232EC}" uniqueName="39" name="2/25/20" queryTableFieldId="39"/>
    <tableColumn id="40" xr3:uid="{3A0C4C8F-B588-4B04-AC5E-82046D94285D}" uniqueName="40" name="2/26/20" queryTableFieldId="40"/>
    <tableColumn id="41" xr3:uid="{964BF3FC-22D5-47D5-9DA0-2C4D7CDF8568}" uniqueName="41" name="2/27/20" queryTableFieldId="41"/>
    <tableColumn id="42" xr3:uid="{FBEDD54C-B711-4138-B4AF-8B0F4178540D}" uniqueName="42" name="2/28/20" queryTableFieldId="42"/>
    <tableColumn id="43" xr3:uid="{50B7B8C8-69A7-48CC-B8BD-4E659EFFB173}" uniqueName="43" name="2/29/20" queryTableFieldId="43"/>
    <tableColumn id="44" xr3:uid="{9A6C2682-05C8-43BE-8CB3-02B1E2EA8520}" uniqueName="44" name="3/1/20" queryTableFieldId="44"/>
    <tableColumn id="45" xr3:uid="{FA3DDF8A-48C3-4B23-B153-07BC47222A7F}" uniqueName="45" name="3/2/20" queryTableFieldId="45"/>
    <tableColumn id="46" xr3:uid="{1FE83688-672B-43DB-BBE3-ECDEA90A8C7D}" uniqueName="46" name="3/3/20" queryTableFieldId="46"/>
    <tableColumn id="47" xr3:uid="{1ED642DF-D055-4DD8-851E-F1F084D914F8}" uniqueName="47" name="3/4/20" queryTableFieldId="47"/>
    <tableColumn id="48" xr3:uid="{8B292DA4-EBDD-4D49-994F-221A50B91D43}" uniqueName="48" name="3/5/20" queryTableFieldId="48"/>
    <tableColumn id="49" xr3:uid="{2EF4F876-B98C-4B86-A15B-31E34965A593}" uniqueName="49" name="3/6/20" queryTableFieldId="49"/>
    <tableColumn id="50" xr3:uid="{D5FDF313-F57A-4705-BBAC-025D5931580C}" uniqueName="50" name="3/7/20" queryTableFieldId="50"/>
    <tableColumn id="51" xr3:uid="{0C598407-FFFB-405F-A78E-4BE37216E378}" uniqueName="51" name="3/8/20" queryTableFieldId="51"/>
    <tableColumn id="52" xr3:uid="{77608B67-18FD-4553-A794-48AE9FC930DF}" uniqueName="52" name="3/9/20" queryTableFieldId="52"/>
    <tableColumn id="53" xr3:uid="{D32EF2A7-C12B-4D05-B5D6-56C1B3ED91EE}" uniqueName="53" name="3/10/20" queryTableFieldId="53"/>
    <tableColumn id="54" xr3:uid="{8C0C00EC-53C3-438A-B2B1-1FB8E5AE7E5D}" uniqueName="54" name="3/11/20" queryTableFieldId="54"/>
    <tableColumn id="55" xr3:uid="{D6B207F7-6D0D-40F1-93DC-DA97FD036788}" uniqueName="55" name="3/12/20" queryTableFieldId="55"/>
    <tableColumn id="56" xr3:uid="{63CA8455-0332-40CB-9234-9CD33B878087}" uniqueName="56" name="3/13/20" queryTableFieldId="56"/>
    <tableColumn id="57" xr3:uid="{44FFD54B-B904-4227-8356-1C9793D650ED}" uniqueName="57" name="3/14/20" queryTableFieldId="57"/>
    <tableColumn id="58" xr3:uid="{34A2453A-4ACD-49B3-90B0-626B3B40413E}" uniqueName="58" name="3/15/20" queryTableFieldId="58"/>
    <tableColumn id="59" xr3:uid="{BE2B99B0-DF13-4A3C-A9CD-8B1AE7EDCD51}" uniqueName="59" name="3/16/20" queryTableFieldId="59"/>
    <tableColumn id="60" xr3:uid="{AD17D9EB-CC29-4D98-9043-E8B5B93E97D7}" uniqueName="60" name="3/17/20" queryTableFieldId="60"/>
    <tableColumn id="61" xr3:uid="{0BCC603D-C235-4B8C-A5FE-F446DB46BB08}" uniqueName="61" name="3/18/20" queryTableFieldId="61"/>
    <tableColumn id="62" xr3:uid="{51C81EA4-0E64-4F81-84EC-DC61A347532A}" uniqueName="62" name="3/19/20" queryTableFieldId="62"/>
    <tableColumn id="63" xr3:uid="{B7A408CA-739B-4365-BB1A-AC1B32FB1ABF}" uniqueName="63" name="3/20/20" queryTableFieldId="63"/>
    <tableColumn id="64" xr3:uid="{8447FC1A-9D51-4BB6-B6F9-5C4B8A19B430}" uniqueName="64" name="3/21/20" queryTableFieldId="64"/>
    <tableColumn id="65" xr3:uid="{47E295FE-2166-46DB-A41C-00FBEAA73AFF}" uniqueName="65" name="3/22/20" queryTableFieldId="65"/>
    <tableColumn id="66" xr3:uid="{1E938518-EBEE-4094-87E4-F7C4EB74458B}" uniqueName="66" name="3/23/20" queryTableFieldId="66"/>
    <tableColumn id="67" xr3:uid="{E1CD23C9-5F2F-42EA-B62B-7FDDD6A54E8D}" uniqueName="67" name="3/24/20" queryTableFieldId="6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D0894B-CBB6-45B0-9280-F9F952954909}" name="Confirmed_Days_Since_Per_Unit_Population" displayName="Confirmed_Days_Since_Per_Unit_Population" ref="A1:BL13" tableType="queryTable" totalsRowShown="0">
  <autoFilter ref="A1:BL13" xr:uid="{D3D07324-DF49-4E1A-BB9B-3E097FEF99E6}"/>
  <sortState xmlns:xlrd2="http://schemas.microsoft.com/office/spreadsheetml/2017/richdata2" ref="A2:BL13">
    <sortCondition ref="A1:A13"/>
  </sortState>
  <tableColumns count="64">
    <tableColumn id="1" xr3:uid="{DA69890E-F75E-4D8E-BCB6-D43E46114942}" uniqueName="1" name="Country/Region" queryTableFieldId="1" dataDxfId="60"/>
    <tableColumn id="2" xr3:uid="{906DB2C9-5AEF-47CB-9D30-C381C8D6019A}" uniqueName="2" name="1" queryTableFieldId="2"/>
    <tableColumn id="3" xr3:uid="{293FD394-144B-41BA-82AE-CD1D190FBA4E}" uniqueName="3" name="2" queryTableFieldId="3"/>
    <tableColumn id="4" xr3:uid="{E3EADD4D-B35B-4C04-813B-2798AE0053D7}" uniqueName="4" name="3" queryTableFieldId="4"/>
    <tableColumn id="5" xr3:uid="{804EA1DB-0DEE-457A-BA23-CD3C8BF157EC}" uniqueName="5" name="4" queryTableFieldId="5"/>
    <tableColumn id="6" xr3:uid="{FC8CAA83-0719-4578-879F-586673E4C022}" uniqueName="6" name="5" queryTableFieldId="6"/>
    <tableColumn id="7" xr3:uid="{5764C92F-A64F-4F53-BDEE-A3266CDE702B}" uniqueName="7" name="6" queryTableFieldId="7"/>
    <tableColumn id="8" xr3:uid="{9E46A0AE-EF3D-4D87-B589-ABCE57DAE196}" uniqueName="8" name="7" queryTableFieldId="8"/>
    <tableColumn id="9" xr3:uid="{0C4880B0-E85B-4BD2-9B2D-E65F4D1B662F}" uniqueName="9" name="8" queryTableFieldId="9"/>
    <tableColumn id="10" xr3:uid="{CC33EA96-2332-4C7D-99E0-E3BA0869C15E}" uniqueName="10" name="9" queryTableFieldId="10"/>
    <tableColumn id="11" xr3:uid="{10011E64-4F3C-4C3C-AB3C-472A47EC7775}" uniqueName="11" name="10" queryTableFieldId="11"/>
    <tableColumn id="12" xr3:uid="{31A5BDEF-39B3-4F35-A3EC-D13431684C21}" uniqueName="12" name="11" queryTableFieldId="12"/>
    <tableColumn id="13" xr3:uid="{EB3BB89C-4710-42F3-AB1B-A4D33CDAB942}" uniqueName="13" name="12" queryTableFieldId="13"/>
    <tableColumn id="14" xr3:uid="{7F70E5C2-5FAA-4FB2-AD57-673B2F5806D5}" uniqueName="14" name="13" queryTableFieldId="14"/>
    <tableColumn id="15" xr3:uid="{2DC7E061-17B6-471E-BEB9-24059EA354E1}" uniqueName="15" name="14" queryTableFieldId="15"/>
    <tableColumn id="16" xr3:uid="{76E71F50-254B-4918-95EA-AE6D7FFED16D}" uniqueName="16" name="15" queryTableFieldId="16"/>
    <tableColumn id="17" xr3:uid="{600BA74C-197B-4010-BAEA-04128D176BD5}" uniqueName="17" name="16" queryTableFieldId="17"/>
    <tableColumn id="18" xr3:uid="{3BBA0113-D8B1-4082-B1D4-A4F49F446879}" uniqueName="18" name="17" queryTableFieldId="18"/>
    <tableColumn id="19" xr3:uid="{40DF8214-ADA0-49C6-9A59-4E2D7174B871}" uniqueName="19" name="18" queryTableFieldId="19"/>
    <tableColumn id="20" xr3:uid="{48061EAD-81FE-4D0D-A4E2-9EC19782A486}" uniqueName="20" name="19" queryTableFieldId="20"/>
    <tableColumn id="21" xr3:uid="{35FA026C-0955-4F0F-AF43-8909C7D22253}" uniqueName="21" name="20" queryTableFieldId="21"/>
    <tableColumn id="22" xr3:uid="{AAA8E5E9-6991-4FE1-BF10-7BFCC0153ECE}" uniqueName="22" name="21" queryTableFieldId="22"/>
    <tableColumn id="23" xr3:uid="{75401178-A2E5-46B4-88AE-0EF3F499581C}" uniqueName="23" name="22" queryTableFieldId="23"/>
    <tableColumn id="24" xr3:uid="{5B01254D-08F7-4706-818C-7D8E24B4B8D4}" uniqueName="24" name="23" queryTableFieldId="24"/>
    <tableColumn id="25" xr3:uid="{14D868C0-638B-427D-87B7-6BF0DFB069F8}" uniqueName="25" name="24" queryTableFieldId="25"/>
    <tableColumn id="26" xr3:uid="{91C8D1FC-66BE-4707-AAD9-0A778675A446}" uniqueName="26" name="25" queryTableFieldId="26"/>
    <tableColumn id="27" xr3:uid="{80E5771A-72B2-4B35-A195-A88118D81BDE}" uniqueName="27" name="26" queryTableFieldId="27"/>
    <tableColumn id="28" xr3:uid="{7000E98E-DC20-4552-816B-CA24F06FF85E}" uniqueName="28" name="27" queryTableFieldId="28"/>
    <tableColumn id="29" xr3:uid="{492BB7DC-698F-4F6C-9565-012655B0C9BA}" uniqueName="29" name="28" queryTableFieldId="29"/>
    <tableColumn id="30" xr3:uid="{B32FCDAF-2FF1-460A-91AD-F75939F20565}" uniqueName="30" name="29" queryTableFieldId="30"/>
    <tableColumn id="31" xr3:uid="{AFD96399-D935-4A71-B40C-893E3046D332}" uniqueName="31" name="30" queryTableFieldId="31"/>
    <tableColumn id="32" xr3:uid="{0B49E4CF-F24C-4A14-B131-4FB1B3056CBF}" uniqueName="32" name="31" queryTableFieldId="32"/>
    <tableColumn id="33" xr3:uid="{202B12F6-72B2-4B05-A9C2-40EAED655ADD}" uniqueName="33" name="32" queryTableFieldId="33"/>
    <tableColumn id="34" xr3:uid="{603D1029-093B-469C-86E8-D708D5FB5689}" uniqueName="34" name="33" queryTableFieldId="34"/>
    <tableColumn id="35" xr3:uid="{9036E840-8BB2-44BB-A518-4E308EF960B8}" uniqueName="35" name="34" queryTableFieldId="35"/>
    <tableColumn id="36" xr3:uid="{FBA81430-83D2-486A-8648-21D9D9A919ED}" uniqueName="36" name="35" queryTableFieldId="36"/>
    <tableColumn id="37" xr3:uid="{CC5D4C86-CCD0-40F6-99A0-36F34E508B93}" uniqueName="37" name="36" queryTableFieldId="37"/>
    <tableColumn id="38" xr3:uid="{93BCA593-D5BD-454A-97F4-9E5FC9B2329F}" uniqueName="38" name="37" queryTableFieldId="38"/>
    <tableColumn id="39" xr3:uid="{5DCFC811-0D8D-49A0-8A70-744F0481A36D}" uniqueName="39" name="38" queryTableFieldId="39"/>
    <tableColumn id="40" xr3:uid="{B1BF44EC-3E57-4685-AA05-14151147C72C}" uniqueName="40" name="39" queryTableFieldId="40"/>
    <tableColumn id="41" xr3:uid="{B095F7CE-FCBC-4FC1-AED8-FC45FED6DACE}" uniqueName="41" name="40" queryTableFieldId="41"/>
    <tableColumn id="42" xr3:uid="{AE061A71-7668-49C1-8D66-C5960E4CE683}" uniqueName="42" name="41" queryTableFieldId="42"/>
    <tableColumn id="43" xr3:uid="{B0FF16D5-9BE8-4732-B58C-C893C32D5322}" uniqueName="43" name="42" queryTableFieldId="43"/>
    <tableColumn id="44" xr3:uid="{06109A94-F778-4F26-B737-29B13814078E}" uniqueName="44" name="43" queryTableFieldId="44"/>
    <tableColumn id="45" xr3:uid="{43EA572D-28AB-4682-8E0F-2C014882615B}" uniqueName="45" name="44" queryTableFieldId="45"/>
    <tableColumn id="46" xr3:uid="{5BC5E7B8-A7AD-4FB8-B39A-67506A9076B6}" uniqueName="46" name="45" queryTableFieldId="46"/>
    <tableColumn id="47" xr3:uid="{A1FD2AA6-F4C4-4FB0-ACFC-D447A2E75AF9}" uniqueName="47" name="46" queryTableFieldId="47"/>
    <tableColumn id="48" xr3:uid="{21B6ABDA-3BF4-4133-A2B9-8A5EC13F61F1}" uniqueName="48" name="47" queryTableFieldId="48"/>
    <tableColumn id="49" xr3:uid="{1E2596D3-1C85-4B42-AB4C-99C20C614A42}" uniqueName="49" name="48" queryTableFieldId="49"/>
    <tableColumn id="50" xr3:uid="{576DE740-A82C-4C88-AC85-227B98A13F0D}" uniqueName="50" name="49" queryTableFieldId="50"/>
    <tableColumn id="51" xr3:uid="{B1F84298-680F-42FD-9A60-C756258AC885}" uniqueName="51" name="50" queryTableFieldId="51"/>
    <tableColumn id="52" xr3:uid="{0E1AE5AD-D3A5-484C-82BB-7B7B0676C1CE}" uniqueName="52" name="51" queryTableFieldId="52"/>
    <tableColumn id="53" xr3:uid="{E42D30B0-345F-4D2E-B2F4-5AE5B4ADA22A}" uniqueName="53" name="52" queryTableFieldId="53"/>
    <tableColumn id="54" xr3:uid="{FF5565F6-A312-4C1D-83B3-B07068943251}" uniqueName="54" name="53" queryTableFieldId="54"/>
    <tableColumn id="55" xr3:uid="{11F0120B-AF5F-40F3-84E2-7C5EFE787DD6}" uniqueName="55" name="54" queryTableFieldId="55"/>
    <tableColumn id="56" xr3:uid="{EC583B2F-2EFE-44C5-80F1-6339D4CE0D43}" uniqueName="56" name="55" queryTableFieldId="56"/>
    <tableColumn id="57" xr3:uid="{CA46E8A7-48AD-4A57-8EB5-019034C12274}" uniqueName="57" name="56" queryTableFieldId="57"/>
    <tableColumn id="58" xr3:uid="{8425F99F-38DD-4D78-89A0-064DDB205F7E}" uniqueName="58" name="57" queryTableFieldId="58"/>
    <tableColumn id="59" xr3:uid="{70648505-BFC2-4D79-ABE6-3A544D933489}" uniqueName="59" name="58" queryTableFieldId="59"/>
    <tableColumn id="60" xr3:uid="{664FADF0-694C-46B1-9100-8D3ADE5EF677}" uniqueName="60" name="59" queryTableFieldId="60"/>
    <tableColumn id="61" xr3:uid="{6BDBE873-EB6C-489F-B22B-6B1AE9C35693}" uniqueName="61" name="60" queryTableFieldId="61"/>
    <tableColumn id="62" xr3:uid="{45DC5C17-3383-46FA-A615-CD2CE64548FA}" uniqueName="62" name="61" queryTableFieldId="62"/>
    <tableColumn id="63" xr3:uid="{D225DFC1-0E56-43CD-A8ED-13BDC0C549A3}" uniqueName="63" name="62" queryTableFieldId="63"/>
    <tableColumn id="64" xr3:uid="{244AE7A0-B63D-454A-A3FC-C46C1C8CD804}" uniqueName="64" name="63" queryTableFieldId="6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4246BC-B4C7-4529-B9EA-A4C52551B980}" name="Confirmed_Days_Since" displayName="Confirmed_Days_Since" ref="A1:BL13" tableType="queryTable" totalsRowShown="0">
  <autoFilter ref="A1:BL13" xr:uid="{E3CD31CD-709E-43F4-8ADF-713AD6227067}"/>
  <sortState xmlns:xlrd2="http://schemas.microsoft.com/office/spreadsheetml/2017/richdata2" ref="A2:BL13">
    <sortCondition ref="A1:A13"/>
  </sortState>
  <tableColumns count="64">
    <tableColumn id="1" xr3:uid="{5C767A57-AEDC-4A3E-8803-5A8C5F845328}" uniqueName="1" name="Country/Region" queryTableFieldId="1" dataDxfId="59"/>
    <tableColumn id="4" xr3:uid="{967ACEFA-C93F-4CAC-826F-16267D871D29}" uniqueName="4" name="1" queryTableFieldId="4"/>
    <tableColumn id="5" xr3:uid="{897F92CD-6917-43BD-9429-7ABB2917614B}" uniqueName="5" name="2" queryTableFieldId="5"/>
    <tableColumn id="6" xr3:uid="{920E535C-B19E-4401-B7D2-9E5CF5143D71}" uniqueName="6" name="3" queryTableFieldId="6"/>
    <tableColumn id="7" xr3:uid="{000A1705-624D-4DCF-851F-4A8B7F07BBF5}" uniqueName="7" name="4" queryTableFieldId="7"/>
    <tableColumn id="8" xr3:uid="{F0D98924-B783-404B-866C-5638CD012FF0}" uniqueName="8" name="5" queryTableFieldId="8"/>
    <tableColumn id="9" xr3:uid="{FA86CC12-0C62-4B1A-9204-CAC4ADB00903}" uniqueName="9" name="6" queryTableFieldId="9"/>
    <tableColumn id="10" xr3:uid="{4CD36000-2A31-414E-8221-298860505DA4}" uniqueName="10" name="7" queryTableFieldId="10"/>
    <tableColumn id="11" xr3:uid="{B1402A2E-F533-46CB-9849-E58475CFFA4E}" uniqueName="11" name="8" queryTableFieldId="11"/>
    <tableColumn id="12" xr3:uid="{6BCDAD72-D087-4338-A361-3E4A17088B3B}" uniqueName="12" name="9" queryTableFieldId="12"/>
    <tableColumn id="13" xr3:uid="{A2E7B57D-63B9-43FE-9380-F17130CD7A59}" uniqueName="13" name="10" queryTableFieldId="13"/>
    <tableColumn id="14" xr3:uid="{7302F9CA-81F6-4DB1-B924-6A13E1C90AFB}" uniqueName="14" name="11" queryTableFieldId="14"/>
    <tableColumn id="15" xr3:uid="{64112752-7F88-40B9-AFED-56948E584743}" uniqueName="15" name="12" queryTableFieldId="15"/>
    <tableColumn id="16" xr3:uid="{3E8CB7A0-1CDC-4DF7-9772-6E738B4AAD62}" uniqueName="16" name="13" queryTableFieldId="16"/>
    <tableColumn id="17" xr3:uid="{DEF17DDE-641E-47DB-B867-DDFE220C6517}" uniqueName="17" name="14" queryTableFieldId="17"/>
    <tableColumn id="18" xr3:uid="{7B34704D-DDDE-4568-84D0-53366DC29E6F}" uniqueName="18" name="15" queryTableFieldId="18"/>
    <tableColumn id="19" xr3:uid="{B87122AF-E911-4C86-AE6E-A9660269BEA9}" uniqueName="19" name="16" queryTableFieldId="19"/>
    <tableColumn id="20" xr3:uid="{0FBA3C83-B33B-46FB-961A-9341E387499B}" uniqueName="20" name="17" queryTableFieldId="20"/>
    <tableColumn id="21" xr3:uid="{034410F9-6D2D-4E9C-B512-6828D77C712D}" uniqueName="21" name="18" queryTableFieldId="21"/>
    <tableColumn id="22" xr3:uid="{FF846AA6-C400-416E-ADB9-552E5483514C}" uniqueName="22" name="19" queryTableFieldId="22"/>
    <tableColumn id="23" xr3:uid="{79FD2769-7726-4681-98A0-656C79186D0F}" uniqueName="23" name="20" queryTableFieldId="23"/>
    <tableColumn id="24" xr3:uid="{6FA37DE6-4989-40BA-BBE9-E311ECCB6802}" uniqueName="24" name="21" queryTableFieldId="24"/>
    <tableColumn id="25" xr3:uid="{224531A1-B00A-43E6-8BB4-6F86AEB12F04}" uniqueName="25" name="22" queryTableFieldId="25"/>
    <tableColumn id="26" xr3:uid="{F264B1B1-324F-4801-8B0E-5B0084F0D1B3}" uniqueName="26" name="23" queryTableFieldId="26"/>
    <tableColumn id="27" xr3:uid="{8352F850-8EE7-4FF9-A107-413505A3461E}" uniqueName="27" name="24" queryTableFieldId="27"/>
    <tableColumn id="28" xr3:uid="{C3307E63-D55F-4CCB-A584-F259016B3FA4}" uniqueName="28" name="25" queryTableFieldId="28"/>
    <tableColumn id="29" xr3:uid="{09C3A7A3-286E-4805-9794-8A431C09A90F}" uniqueName="29" name="26" queryTableFieldId="29"/>
    <tableColumn id="30" xr3:uid="{16BA7AEC-4848-438F-AE6D-095E0A329B65}" uniqueName="30" name="27" queryTableFieldId="30"/>
    <tableColumn id="31" xr3:uid="{CC91FC84-B6A2-4787-91A8-5D4E2552A96D}" uniqueName="31" name="28" queryTableFieldId="31"/>
    <tableColumn id="32" xr3:uid="{266C38F9-4151-4A0E-9AB8-2E76912C412C}" uniqueName="32" name="29" queryTableFieldId="32"/>
    <tableColumn id="33" xr3:uid="{7BD4C927-5F08-405F-8802-3CE863BB3286}" uniqueName="33" name="30" queryTableFieldId="33"/>
    <tableColumn id="34" xr3:uid="{17634C9F-7AC7-4B35-A11E-4EAAB8D164EA}" uniqueName="34" name="31" queryTableFieldId="34"/>
    <tableColumn id="35" xr3:uid="{75EA79C1-77A7-4663-9C59-60418ACCFD8D}" uniqueName="35" name="32" queryTableFieldId="35"/>
    <tableColumn id="36" xr3:uid="{E72056AC-EE11-4F13-99D6-9D3EE792F76D}" uniqueName="36" name="33" queryTableFieldId="36"/>
    <tableColumn id="37" xr3:uid="{C6BB9D44-4E9A-474A-914F-ADE65CF88240}" uniqueName="37" name="34" queryTableFieldId="37"/>
    <tableColumn id="38" xr3:uid="{7D9475CD-927A-4E5F-8619-56B95DFB8DCC}" uniqueName="38" name="35" queryTableFieldId="38"/>
    <tableColumn id="39" xr3:uid="{B8A69FF7-EC30-4629-BB4B-9C6065932D34}" uniqueName="39" name="36" queryTableFieldId="39"/>
    <tableColumn id="40" xr3:uid="{02C11121-998C-4431-A8B6-9A68CB5B4989}" uniqueName="40" name="37" queryTableFieldId="40"/>
    <tableColumn id="41" xr3:uid="{90EB130C-C6F5-4155-A4CE-4A34327D2F8B}" uniqueName="41" name="38" queryTableFieldId="41"/>
    <tableColumn id="42" xr3:uid="{E92FC96A-A4F6-4ED2-A010-6768A375AC27}" uniqueName="42" name="39" queryTableFieldId="42"/>
    <tableColumn id="43" xr3:uid="{FAD553DA-5449-4C5F-A27F-428F54B38F13}" uniqueName="43" name="40" queryTableFieldId="43"/>
    <tableColumn id="44" xr3:uid="{575D3A51-EBB0-4D20-9216-369361BAA1C9}" uniqueName="44" name="41" queryTableFieldId="44"/>
    <tableColumn id="45" xr3:uid="{81FD6041-7CA0-4855-8E0D-CBF9381F924D}" uniqueName="45" name="42" queryTableFieldId="45"/>
    <tableColumn id="46" xr3:uid="{D659F25E-5242-49B0-AD5E-75382F8D618F}" uniqueName="46" name="43" queryTableFieldId="46"/>
    <tableColumn id="47" xr3:uid="{9698A279-AC8A-4E2C-B12D-D8690529230F}" uniqueName="47" name="44" queryTableFieldId="47"/>
    <tableColumn id="48" xr3:uid="{7F408F45-4125-454C-A80C-F72181CF3717}" uniqueName="48" name="45" queryTableFieldId="48"/>
    <tableColumn id="49" xr3:uid="{73432459-5815-448B-A96D-43882A384968}" uniqueName="49" name="46" queryTableFieldId="49"/>
    <tableColumn id="50" xr3:uid="{EF0F849C-DA21-4B66-90A4-9E46CF5B470C}" uniqueName="50" name="47" queryTableFieldId="50"/>
    <tableColumn id="51" xr3:uid="{FEFF0D28-E896-4160-A0B4-8232F4FB9EEF}" uniqueName="51" name="48" queryTableFieldId="51"/>
    <tableColumn id="52" xr3:uid="{9307965F-6E86-4B0D-99B5-FB96513F84A5}" uniqueName="52" name="49" queryTableFieldId="52"/>
    <tableColumn id="53" xr3:uid="{8811C165-B2C3-44B0-A357-5B86ED49EC21}" uniqueName="53" name="50" queryTableFieldId="53"/>
    <tableColumn id="2" xr3:uid="{73141892-C30C-4AEF-B896-8A0B71339116}" uniqueName="2" name="51" queryTableFieldId="54"/>
    <tableColumn id="3" xr3:uid="{6EE8C112-4642-4569-A130-DB4F359A427D}" uniqueName="3" name="52" queryTableFieldId="55"/>
    <tableColumn id="54" xr3:uid="{1262DB5D-2B58-4987-827E-B942C0CB728B}" uniqueName="54" name="53" queryTableFieldId="56"/>
    <tableColumn id="55" xr3:uid="{2A964997-9A8C-4FCD-B16E-59B1365B225A}" uniqueName="55" name="54" queryTableFieldId="57"/>
    <tableColumn id="56" xr3:uid="{650519A0-EEAD-4732-881D-C61083FEAD33}" uniqueName="56" name="55" queryTableFieldId="58"/>
    <tableColumn id="57" xr3:uid="{7AEEC52C-BFAD-4C1C-AD8C-970967AEB411}" uniqueName="57" name="56" queryTableFieldId="59"/>
    <tableColumn id="58" xr3:uid="{32E4C628-8EA3-4805-A6D6-582A6B581EDF}" uniqueName="58" name="57" queryTableFieldId="60"/>
    <tableColumn id="59" xr3:uid="{7BD230E3-34EF-4C6D-ADB5-656222F46422}" uniqueName="59" name="58" queryTableFieldId="61"/>
    <tableColumn id="60" xr3:uid="{67B32610-1385-4F83-98B9-D509112D2153}" uniqueName="60" name="59" queryTableFieldId="62"/>
    <tableColumn id="61" xr3:uid="{EAFACE6D-A6C8-4769-843B-A32F6ABABD42}" uniqueName="61" name="60" queryTableFieldId="63"/>
    <tableColumn id="62" xr3:uid="{854A9D09-C013-44ED-BE50-CC2F811712AE}" uniqueName="62" name="61" queryTableFieldId="64"/>
    <tableColumn id="63" xr3:uid="{160CC2CE-3B90-46FE-93B3-73E33F79D9D3}" uniqueName="63" name="62" queryTableFieldId="65"/>
    <tableColumn id="64" xr3:uid="{9F303292-65AD-4B75-A78B-CD4C8D62678A}" uniqueName="64" name="63" queryTableFieldId="6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982F4FC-06B8-412F-B0ED-1BCF03F64AAC}" name="Confirmed_Country_Totals" displayName="Confirmed_Country_Totals" ref="A1:N64" tableType="queryTable" totalsRowShown="0">
  <autoFilter ref="A1:N64" xr:uid="{344063CA-0B39-4AD9-AE2C-52B5EC26B690}"/>
  <tableColumns count="14">
    <tableColumn id="1" xr3:uid="{29A19382-EE17-4DFB-9B45-565C21CA588C}" uniqueName="1" name="Date" queryTableFieldId="1" dataDxfId="58"/>
    <tableColumn id="8" xr3:uid="{FFEAED89-51A2-4011-9F8A-DAFD1BAF8A4E}" uniqueName="8" name="Australia" queryTableFieldId="8"/>
    <tableColumn id="7" xr3:uid="{0052F4B9-CF2D-4416-B3E0-D1DAFF401F96}" uniqueName="7" name="Canada" queryTableFieldId="7"/>
    <tableColumn id="95" xr3:uid="{33DCFA69-F7C9-4BB5-AA3C-F372678E07ED}" uniqueName="95" name="China" queryTableFieldId="95"/>
    <tableColumn id="100" xr3:uid="{F1C43DB4-DB31-4942-A199-B244F09113C6}" uniqueName="100" name="Denmark" queryTableFieldId="100"/>
    <tableColumn id="98" xr3:uid="{66FF11A1-9981-48E9-8CE7-359595483341}" uniqueName="98" name="France" queryTableFieldId="98"/>
    <tableColumn id="2" xr3:uid="{07C0E16B-6309-4335-963C-A5895EEB866D}" uniqueName="2" name="Germany" queryTableFieldId="376"/>
    <tableColumn id="96" xr3:uid="{4055004C-8D4D-490E-845D-35DE59B6E9ED}" uniqueName="96" name="Iran" queryTableFieldId="96"/>
    <tableColumn id="16" xr3:uid="{3435F917-3C88-45A2-9FAB-F8732788C6A0}" uniqueName="16" name="Italy" queryTableFieldId="16"/>
    <tableColumn id="3" xr3:uid="{FBAAB77D-13CF-4F5C-A88F-B585A4554B6B}" uniqueName="3" name="Japan" queryTableFieldId="3"/>
    <tableColumn id="97" xr3:uid="{FD2AFD53-D818-4156-82EF-6ED3F187C7D0}" uniqueName="97" name="Korea, South" queryTableFieldId="97"/>
    <tableColumn id="90" xr3:uid="{E4CC38E9-2997-402C-BD50-D9A4DD263041}" uniqueName="90" name="US" queryTableFieldId="90"/>
    <tableColumn id="108" xr3:uid="{27BADCFD-6D4C-4764-BF4C-C41ABD84438F}" uniqueName="108" name="United Kingdom" queryTableFieldId="108"/>
    <tableColumn id="154" xr3:uid="{D01D2F8E-FB32-4DA4-A1F5-372935CFEE2C}" uniqueName="154" name="Total" queryTableFieldId="15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955D73-EBCA-40ED-8460-E3E537251FAB}" name="Confirmed_Country_Grouped" displayName="Confirmed_Country_Grouped" ref="A1:BL13" tableType="queryTable" totalsRowShown="0">
  <autoFilter ref="A1:BL13" xr:uid="{81D9CAA9-FE8F-42CE-A2B7-720532AEFDD1}">
    <filterColumn colId="0">
      <filters>
        <filter val="Australia"/>
        <filter val="Canada"/>
        <filter val="China"/>
        <filter val="Denmark"/>
        <filter val="France"/>
        <filter val="Hungary"/>
        <filter val="Italy"/>
        <filter val="Japan"/>
        <filter val="Korea, South"/>
        <filter val="United Kingdom"/>
        <filter val="US"/>
      </filters>
    </filterColumn>
  </autoFilter>
  <sortState xmlns:xlrd2="http://schemas.microsoft.com/office/spreadsheetml/2017/richdata2" ref="A2:BL13">
    <sortCondition ref="A1:A13"/>
  </sortState>
  <tableColumns count="64">
    <tableColumn id="1" xr3:uid="{1977E9A1-13A4-43E1-AA8A-4F7D02AE1385}" uniqueName="1" name="Country/Region" queryTableFieldId="1" dataDxfId="57"/>
    <tableColumn id="59" xr3:uid="{100B32D5-6A60-4A13-930C-39486949426A}" uniqueName="59" name="1/22/20" queryTableFieldId="59"/>
    <tableColumn id="60" xr3:uid="{2AF682B6-4D53-4BE6-9209-D3EE8A850161}" uniqueName="60" name="1/23/20" queryTableFieldId="60"/>
    <tableColumn id="61" xr3:uid="{FDF53B31-1687-4A07-B3BA-A6ECC4AD116E}" uniqueName="61" name="1/24/20" queryTableFieldId="61"/>
    <tableColumn id="62" xr3:uid="{BFB91FA5-267B-4390-B464-9FD82B97FBBD}" uniqueName="62" name="1/25/20" queryTableFieldId="62"/>
    <tableColumn id="63" xr3:uid="{42F5DC67-D46C-4A66-97F0-8AA98BF0BB38}" uniqueName="63" name="1/26/20" queryTableFieldId="63"/>
    <tableColumn id="64" xr3:uid="{09BBD131-8C4A-4DC5-89CD-413D24F66D13}" uniqueName="64" name="1/27/20" queryTableFieldId="64"/>
    <tableColumn id="65" xr3:uid="{DBA4B5B7-E809-494C-B835-599ABC01851C}" uniqueName="65" name="1/28/20" queryTableFieldId="65"/>
    <tableColumn id="66" xr3:uid="{3952D633-10B8-498C-87ED-E1559CCE7BBA}" uniqueName="66" name="1/29/20" queryTableFieldId="66"/>
    <tableColumn id="67" xr3:uid="{FEF11FC1-F4DC-4B69-9096-B9B223A63AD3}" uniqueName="67" name="1/30/20" queryTableFieldId="67"/>
    <tableColumn id="68" xr3:uid="{FB357883-F795-4694-B5ED-89561BFA90AD}" uniqueName="68" name="1/31/20" queryTableFieldId="68"/>
    <tableColumn id="69" xr3:uid="{E1CA51C0-6D40-4987-B864-4CB3408DCF21}" uniqueName="69" name="2/1/20" queryTableFieldId="69"/>
    <tableColumn id="70" xr3:uid="{2357BE1F-5515-4349-88A4-DCF698BEC556}" uniqueName="70" name="2/2/20" queryTableFieldId="70"/>
    <tableColumn id="71" xr3:uid="{C7DBE894-9FDD-4BF2-B14F-DD9220BE1679}" uniqueName="71" name="2/3/20" queryTableFieldId="71"/>
    <tableColumn id="72" xr3:uid="{5FDCEC0F-9BF8-4913-9AEC-2D084BB0D813}" uniqueName="72" name="2/4/20" queryTableFieldId="72"/>
    <tableColumn id="73" xr3:uid="{CF901405-B113-492E-B156-BA7B277072DB}" uniqueName="73" name="2/5/20" queryTableFieldId="73"/>
    <tableColumn id="74" xr3:uid="{A0A5012D-9718-4F04-822F-0227B51FB164}" uniqueName="74" name="2/6/20" queryTableFieldId="74"/>
    <tableColumn id="75" xr3:uid="{2C15A946-8158-440B-BE8E-A6E71B026DBE}" uniqueName="75" name="2/7/20" queryTableFieldId="75"/>
    <tableColumn id="76" xr3:uid="{ABE90D25-8410-41DE-82BB-ED7F96536C5C}" uniqueName="76" name="2/8/20" queryTableFieldId="76"/>
    <tableColumn id="77" xr3:uid="{9C49DCC6-F8F0-463F-9BAC-5B8C98598933}" uniqueName="77" name="2/9/20" queryTableFieldId="77"/>
    <tableColumn id="78" xr3:uid="{8DBFDB5B-952A-4AB8-9999-BB268A6F7923}" uniqueName="78" name="2/10/20" queryTableFieldId="78"/>
    <tableColumn id="79" xr3:uid="{29364A93-A616-4A9E-8F0C-0644551836B5}" uniqueName="79" name="2/11/20" queryTableFieldId="79"/>
    <tableColumn id="80" xr3:uid="{51634260-B45A-4AA9-AD84-773D680691D3}" uniqueName="80" name="2/12/20" queryTableFieldId="80"/>
    <tableColumn id="81" xr3:uid="{413047B6-937C-449A-8888-88ED865AAE47}" uniqueName="81" name="2/13/20" queryTableFieldId="81"/>
    <tableColumn id="82" xr3:uid="{4EAA933B-EA7C-4473-A251-89B18BE73E7B}" uniqueName="82" name="2/14/20" queryTableFieldId="82"/>
    <tableColumn id="83" xr3:uid="{7ECA5E47-8617-4945-99DB-9CBDAA6AF8DB}" uniqueName="83" name="2/15/20" queryTableFieldId="83"/>
    <tableColumn id="84" xr3:uid="{C71C5716-B081-439E-B41E-ACFE1746FE16}" uniqueName="84" name="2/16/20" queryTableFieldId="84"/>
    <tableColumn id="85" xr3:uid="{828A48BA-74F3-47F5-9C09-BDCC58D03C0B}" uniqueName="85" name="2/17/20" queryTableFieldId="85"/>
    <tableColumn id="86" xr3:uid="{06F10DE6-1E75-466D-A81D-B5C00C7C51CF}" uniqueName="86" name="2/18/20" queryTableFieldId="86"/>
    <tableColumn id="87" xr3:uid="{364170B7-CF2C-4DA6-813A-7615ECA4D546}" uniqueName="87" name="2/19/20" queryTableFieldId="87"/>
    <tableColumn id="88" xr3:uid="{A69F9891-EB30-479F-A57A-066C07FA3122}" uniqueName="88" name="2/20/20" queryTableFieldId="88"/>
    <tableColumn id="89" xr3:uid="{0B13CD43-CD3F-4121-8A23-9D400A366C79}" uniqueName="89" name="2/21/20" queryTableFieldId="89"/>
    <tableColumn id="90" xr3:uid="{FA65C52D-694B-4C8C-9EBE-CEB1888F6A38}" uniqueName="90" name="2/22/20" queryTableFieldId="90"/>
    <tableColumn id="91" xr3:uid="{565F1BD0-6863-4876-9C9B-709C5E69D0B2}" uniqueName="91" name="2/23/20" queryTableFieldId="91"/>
    <tableColumn id="92" xr3:uid="{D2D1B21A-5AF3-401F-BF20-C267216C8AF7}" uniqueName="92" name="2/24/20" queryTableFieldId="92"/>
    <tableColumn id="93" xr3:uid="{5C4E5ED9-B35F-4FE9-B26F-C9FCB2A0A0AE}" uniqueName="93" name="2/25/20" queryTableFieldId="93"/>
    <tableColumn id="94" xr3:uid="{F18E8F63-771C-4A68-9458-D3F300A8EA37}" uniqueName="94" name="2/26/20" queryTableFieldId="94"/>
    <tableColumn id="95" xr3:uid="{A8C951ED-D491-4C0F-AD10-B5138EBED3E6}" uniqueName="95" name="2/27/20" queryTableFieldId="95"/>
    <tableColumn id="96" xr3:uid="{B30662B5-1481-433A-BB22-8C0AA7CBBF91}" uniqueName="96" name="2/28/20" queryTableFieldId="96"/>
    <tableColumn id="97" xr3:uid="{4A7566F8-792A-4BBB-A665-B0EECF4F3777}" uniqueName="97" name="2/29/20" queryTableFieldId="97"/>
    <tableColumn id="98" xr3:uid="{2B7E342E-06DD-462D-A108-58D22D2F6206}" uniqueName="98" name="3/1/20" queryTableFieldId="98"/>
    <tableColumn id="99" xr3:uid="{4211378F-1440-4B44-A48E-6DF4D705ECDC}" uniqueName="99" name="3/2/20" queryTableFieldId="99"/>
    <tableColumn id="100" xr3:uid="{4C9033EB-3827-4CA0-A19E-51D566B8E3FA}" uniqueName="100" name="3/3/20" queryTableFieldId="100"/>
    <tableColumn id="101" xr3:uid="{23AE8B66-EE72-48B6-A107-0E590B0BF9F2}" uniqueName="101" name="3/4/20" queryTableFieldId="101"/>
    <tableColumn id="102" xr3:uid="{6C6C80F7-D6EC-409D-9774-183B26E7906E}" uniqueName="102" name="3/5/20" queryTableFieldId="102"/>
    <tableColumn id="103" xr3:uid="{42B48887-C39D-4547-BEE8-40CC9B0AD2AE}" uniqueName="103" name="3/6/20" queryTableFieldId="103"/>
    <tableColumn id="104" xr3:uid="{D221CEE6-9F6F-4A4B-BAE3-CEDF57F886D6}" uniqueName="104" name="3/7/20" queryTableFieldId="104"/>
    <tableColumn id="105" xr3:uid="{7256FD97-3D24-45C8-B10A-AFFCD4C9507E}" uniqueName="105" name="3/8/20" queryTableFieldId="105"/>
    <tableColumn id="106" xr3:uid="{5DF9714F-A114-4E90-BB34-1E5DC3E6D43D}" uniqueName="106" name="3/9/20" queryTableFieldId="106"/>
    <tableColumn id="107" xr3:uid="{A300CBAD-6410-4923-B671-352E02D7AB73}" uniqueName="107" name="3/10/20" queryTableFieldId="107"/>
    <tableColumn id="108" xr3:uid="{91729847-BE29-4241-8A68-C09F2B7DCED6}" uniqueName="108" name="3/11/20" queryTableFieldId="108"/>
    <tableColumn id="109" xr3:uid="{16AC2FF0-4139-479A-BC06-440ED6E33117}" uniqueName="109" name="3/12/20" queryTableFieldId="109"/>
    <tableColumn id="110" xr3:uid="{B7EBB497-03B6-4A15-AD92-0402F5406CA1}" uniqueName="110" name="3/13/20" queryTableFieldId="110"/>
    <tableColumn id="111" xr3:uid="{0982C3C4-2646-41A4-B10C-FA438F081C41}" uniqueName="111" name="3/14/20" queryTableFieldId="111"/>
    <tableColumn id="112" xr3:uid="{B61B795E-23CD-4F25-BA2E-FB156F25E5E7}" uniqueName="112" name="3/15/20" queryTableFieldId="112"/>
    <tableColumn id="113" xr3:uid="{A2EE48FA-A6B4-47C2-8FA2-60F2A9C737A2}" uniqueName="113" name="3/16/20" queryTableFieldId="113"/>
    <tableColumn id="114" xr3:uid="{FBBD5EC9-6BC6-4247-B816-75B5F4B14ADA}" uniqueName="114" name="3/17/20" queryTableFieldId="114"/>
    <tableColumn id="115" xr3:uid="{68EC3CC9-7C9F-4C14-87D0-4C08244FB87D}" uniqueName="115" name="3/18/20" queryTableFieldId="115"/>
    <tableColumn id="2" xr3:uid="{4411AC28-EAFC-4C54-82CC-B28A749D7FD7}" uniqueName="2" name="3/19/20" queryTableFieldId="116"/>
    <tableColumn id="3" xr3:uid="{4BC2B5A3-FD81-496F-8D11-1F4A828BD7C0}" uniqueName="3" name="3/20/20" queryTableFieldId="117"/>
    <tableColumn id="4" xr3:uid="{1702DDC4-AC62-4828-B232-E1565A072440}" uniqueName="4" name="3/21/20" queryTableFieldId="118"/>
    <tableColumn id="5" xr3:uid="{94CCCD32-DD34-44A1-90C3-9538A3A388D4}" uniqueName="5" name="3/22/20" queryTableFieldId="119"/>
    <tableColumn id="6" xr3:uid="{645BE544-E9F7-4259-9D3D-FAD8F7A81D74}" uniqueName="6" name="3/23/20" queryTableFieldId="120"/>
    <tableColumn id="7" xr3:uid="{DB117890-D107-4B7E-9CF3-B4B1DA011954}" uniqueName="7" name="3/24/20" queryTableFieldId="12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C48A3A-3573-4D87-B49D-BA0849B697D2}" name="CountryList" displayName="CountryList" ref="A1:A13" tableType="queryTable" totalsRowShown="0">
  <autoFilter ref="A1:A13" xr:uid="{07C54274-63F2-4419-98B6-3E5B796728FC}"/>
  <tableColumns count="1">
    <tableColumn id="1" xr3:uid="{5145114D-601F-4643-A01E-57620565565E}" uniqueName="1" name="CountryList" queryTableField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DE84DE-6E56-4A15-996A-F28D4AC4F35B}" name="Confirmed" displayName="Confirmed" ref="A1:BO82" tableType="queryTable" totalsRowCount="1">
  <autoFilter ref="A1:BO81" xr:uid="{B68CA685-9C97-41E4-89BF-3806208E502E}">
    <filterColumn colId="1">
      <filters>
        <filter val="Australia"/>
      </filters>
    </filterColumn>
  </autoFilter>
  <sortState xmlns:xlrd2="http://schemas.microsoft.com/office/spreadsheetml/2017/richdata2" ref="A2:BO81">
    <sortCondition ref="B1:B81"/>
  </sortState>
  <tableColumns count="67">
    <tableColumn id="55" xr3:uid="{8D639629-5106-4912-B848-BA5741F2F06D}" uniqueName="55" name="Province/State" totalsRowLabel="Totals" queryTableFieldId="55" dataDxfId="56" totalsRowDxfId="55"/>
    <tableColumn id="56" xr3:uid="{96046619-CF2E-4EFE-BF5D-5D5849F4911D}" uniqueName="56" name="Country/Region" queryTableFieldId="56" dataDxfId="54" totalsRowDxfId="53"/>
    <tableColumn id="57" xr3:uid="{F5CACF6D-25F1-4F91-84E5-23B4AA768477}" uniqueName="57" name="Lat" queryTableFieldId="57" dataDxfId="52"/>
    <tableColumn id="58" xr3:uid="{C1E7A86F-7A7B-4BD8-A352-DB3D2B4A9ACD}" uniqueName="58" name="Long" queryTableFieldId="58" dataDxfId="51"/>
    <tableColumn id="59" xr3:uid="{E74981C9-BF84-4270-8657-8FC7CEB00C55}" uniqueName="59" name="1/22/20" totalsRowFunction="sum" queryTableFieldId="59" dataDxfId="50"/>
    <tableColumn id="60" xr3:uid="{75AFDCEC-E0F3-40A9-A88F-DEE0770C3583}" uniqueName="60" name="1/23/20" totalsRowFunction="sum" queryTableFieldId="60" dataDxfId="49"/>
    <tableColumn id="61" xr3:uid="{AB9E349C-A21E-47A9-A42D-92BECEDC5BC4}" uniqueName="61" name="1/24/20" totalsRowFunction="sum" queryTableFieldId="61" dataDxfId="48"/>
    <tableColumn id="62" xr3:uid="{2CE26938-BE5E-4750-9222-9B396BBF10F2}" uniqueName="62" name="1/25/20" totalsRowFunction="sum" queryTableFieldId="62" dataDxfId="47"/>
    <tableColumn id="63" xr3:uid="{EF74A966-54E6-4368-B619-D975DFDFCAA1}" uniqueName="63" name="1/26/20" totalsRowFunction="sum" queryTableFieldId="63" dataDxfId="46"/>
    <tableColumn id="64" xr3:uid="{8BBACE01-7A79-4D6B-819F-5B735DFAC1D7}" uniqueName="64" name="1/27/20" totalsRowFunction="sum" queryTableFieldId="64" dataDxfId="45"/>
    <tableColumn id="65" xr3:uid="{0658ECEF-6B90-4524-962B-6CE0A77EB7BD}" uniqueName="65" name="1/28/20" totalsRowFunction="sum" queryTableFieldId="65" dataDxfId="44"/>
    <tableColumn id="66" xr3:uid="{F62EB3C0-B6C0-47A5-AEAD-7C2F008EE6FD}" uniqueName="66" name="1/29/20" totalsRowFunction="sum" queryTableFieldId="66" dataDxfId="43"/>
    <tableColumn id="67" xr3:uid="{DE6CA6B3-9408-49E9-AAC0-484E117E821A}" uniqueName="67" name="1/30/20" totalsRowFunction="sum" queryTableFieldId="67" dataDxfId="42"/>
    <tableColumn id="68" xr3:uid="{62551085-F929-45DE-ABC8-E532CBF9087A}" uniqueName="68" name="1/31/20" totalsRowFunction="sum" queryTableFieldId="68" dataDxfId="41"/>
    <tableColumn id="69" xr3:uid="{1E91133A-81EF-4750-BCC5-582B039B922F}" uniqueName="69" name="2/1/20" totalsRowFunction="sum" queryTableFieldId="69" dataDxfId="40"/>
    <tableColumn id="70" xr3:uid="{E264AF23-A729-4AAA-A1D1-20CC5262FC94}" uniqueName="70" name="2/2/20" totalsRowFunction="sum" queryTableFieldId="70" dataDxfId="39"/>
    <tableColumn id="71" xr3:uid="{E35CA8AD-CC14-4BF5-9AAC-60E5B7931A21}" uniqueName="71" name="2/3/20" totalsRowFunction="sum" queryTableFieldId="71" dataDxfId="38"/>
    <tableColumn id="72" xr3:uid="{62810625-7E15-422F-8F0E-8501F8FAD1C3}" uniqueName="72" name="2/4/20" totalsRowFunction="sum" queryTableFieldId="72" dataDxfId="37"/>
    <tableColumn id="73" xr3:uid="{311C5ED9-08B3-4F29-83F3-869C90A52089}" uniqueName="73" name="2/5/20" totalsRowFunction="sum" queryTableFieldId="73" dataDxfId="36"/>
    <tableColumn id="74" xr3:uid="{23071AB8-7625-476C-97E7-4CF890F8FC85}" uniqueName="74" name="2/6/20" totalsRowFunction="sum" queryTableFieldId="74" dataDxfId="35"/>
    <tableColumn id="75" xr3:uid="{4B954891-CEB0-4663-B224-5B357A9B05C1}" uniqueName="75" name="2/7/20" totalsRowFunction="sum" queryTableFieldId="75" dataDxfId="34"/>
    <tableColumn id="76" xr3:uid="{EA639757-EC07-451F-BB1C-F81E900C8949}" uniqueName="76" name="2/8/20" totalsRowFunction="sum" queryTableFieldId="76" dataDxfId="33"/>
    <tableColumn id="77" xr3:uid="{4AF3AAC6-4535-4660-9A9E-8296D56476E4}" uniqueName="77" name="2/9/20" totalsRowFunction="sum" queryTableFieldId="77" dataDxfId="32"/>
    <tableColumn id="78" xr3:uid="{1DDF6796-03CA-4286-AA35-6C0177C62EF7}" uniqueName="78" name="2/10/20" totalsRowFunction="sum" queryTableFieldId="78" dataDxfId="31"/>
    <tableColumn id="79" xr3:uid="{15D11F9F-FDED-4EA2-B472-38B4F4063CA2}" uniqueName="79" name="2/11/20" totalsRowFunction="sum" queryTableFieldId="79" dataDxfId="30"/>
    <tableColumn id="80" xr3:uid="{FD02EF52-2FB3-4479-B302-E7D0F13B3CF0}" uniqueName="80" name="2/12/20" totalsRowFunction="sum" queryTableFieldId="80" dataDxfId="29"/>
    <tableColumn id="81" xr3:uid="{E053A29D-FCE9-43D4-B3DB-A2E1D3CC0466}" uniqueName="81" name="2/13/20" totalsRowFunction="sum" queryTableFieldId="81" dataDxfId="28"/>
    <tableColumn id="82" xr3:uid="{6CFEA8A9-691C-48DA-BBEE-F45FCA6159F7}" uniqueName="82" name="2/14/20" totalsRowFunction="sum" queryTableFieldId="82" dataDxfId="27"/>
    <tableColumn id="83" xr3:uid="{0C70FBD0-2013-4682-9E1D-402295C1CE08}" uniqueName="83" name="2/15/20" totalsRowFunction="sum" queryTableFieldId="83" dataDxfId="26"/>
    <tableColumn id="84" xr3:uid="{7F0E7D06-8639-44B0-8D9D-36146C13C52B}" uniqueName="84" name="2/16/20" totalsRowFunction="sum" queryTableFieldId="84" dataDxfId="25"/>
    <tableColumn id="85" xr3:uid="{89338EE7-F5B2-4204-AF11-44E13B6A6BBA}" uniqueName="85" name="2/17/20" totalsRowFunction="sum" queryTableFieldId="85" dataDxfId="24"/>
    <tableColumn id="86" xr3:uid="{28B55E2A-5C8C-4584-A2DE-2A420DFA0622}" uniqueName="86" name="2/18/20" totalsRowFunction="sum" queryTableFieldId="86" dataDxfId="23"/>
    <tableColumn id="87" xr3:uid="{3019D8E3-21CA-43F9-A23B-0E7DD487CD74}" uniqueName="87" name="2/19/20" totalsRowFunction="sum" queryTableFieldId="87" dataDxfId="22"/>
    <tableColumn id="88" xr3:uid="{AC97C9A3-E450-44F9-B1C5-A380AAEA0EA0}" uniqueName="88" name="2/20/20" totalsRowFunction="sum" queryTableFieldId="88" dataDxfId="21"/>
    <tableColumn id="89" xr3:uid="{A7BC7FD0-0084-4AEE-AFBE-FE748114B0BB}" uniqueName="89" name="2/21/20" totalsRowFunction="sum" queryTableFieldId="89" dataDxfId="20"/>
    <tableColumn id="90" xr3:uid="{8AD2001A-EBBD-4C9F-AF60-0CECFBA57CC1}" uniqueName="90" name="2/22/20" totalsRowFunction="sum" queryTableFieldId="90" dataDxfId="19"/>
    <tableColumn id="91" xr3:uid="{E92F70F8-C698-4370-9447-E0CF446D5B27}" uniqueName="91" name="2/23/20" totalsRowFunction="sum" queryTableFieldId="91" dataDxfId="18"/>
    <tableColumn id="92" xr3:uid="{C18D182B-A80A-463E-9CA0-90BFA6EA8127}" uniqueName="92" name="2/24/20" totalsRowFunction="sum" queryTableFieldId="92" dataDxfId="17"/>
    <tableColumn id="93" xr3:uid="{BFBC9FBA-4B7A-4667-9B85-AE23B1ADE6C7}" uniqueName="93" name="2/25/20" totalsRowFunction="sum" queryTableFieldId="93" dataDxfId="16"/>
    <tableColumn id="94" xr3:uid="{E1B20330-4B62-4BD0-B63E-480CB5650BB2}" uniqueName="94" name="2/26/20" totalsRowFunction="sum" queryTableFieldId="94" dataDxfId="15"/>
    <tableColumn id="95" xr3:uid="{0AD8BC8B-5774-49B3-9BAC-4616E160D002}" uniqueName="95" name="2/27/20" totalsRowFunction="sum" queryTableFieldId="95" dataDxfId="14"/>
    <tableColumn id="96" xr3:uid="{D890470C-4FC2-49FD-82C7-DBFAB8CF566A}" uniqueName="96" name="2/28/20" totalsRowFunction="sum" queryTableFieldId="96" dataDxfId="13"/>
    <tableColumn id="97" xr3:uid="{7952F463-5E48-4672-84C1-E86D429A3E2B}" uniqueName="97" name="2/29/20" totalsRowFunction="sum" queryTableFieldId="97" dataDxfId="12"/>
    <tableColumn id="98" xr3:uid="{0564725B-68A0-4A8E-BB76-2FAFDB03AA8B}" uniqueName="98" name="3/1/20" totalsRowFunction="sum" queryTableFieldId="98" dataDxfId="11"/>
    <tableColumn id="99" xr3:uid="{058104AD-0247-43B0-904F-E7FA0A302899}" uniqueName="99" name="3/2/20" totalsRowFunction="sum" queryTableFieldId="99" dataDxfId="10"/>
    <tableColumn id="100" xr3:uid="{218D07DC-E6C5-44AE-B68D-0DC746B4D843}" uniqueName="100" name="3/3/20" totalsRowFunction="sum" queryTableFieldId="100" dataDxfId="9"/>
    <tableColumn id="101" xr3:uid="{FA25B682-0F03-4FD5-BED6-CA471FAB2181}" uniqueName="101" name="3/4/20" totalsRowFunction="sum" queryTableFieldId="101" dataDxfId="8"/>
    <tableColumn id="102" xr3:uid="{441632F7-251A-41BD-9400-AFB4994B94FB}" uniqueName="102" name="3/5/20" totalsRowFunction="sum" queryTableFieldId="102" dataDxfId="7"/>
    <tableColumn id="103" xr3:uid="{4DBE770E-D7FA-432A-BC1E-D747559975F7}" uniqueName="103" name="3/6/20" totalsRowFunction="sum" queryTableFieldId="103" dataDxfId="6"/>
    <tableColumn id="104" xr3:uid="{3420CA4C-BC61-43E6-B07B-1BFC98F77297}" uniqueName="104" name="3/7/20" totalsRowFunction="sum" queryTableFieldId="104" dataDxfId="5"/>
    <tableColumn id="105" xr3:uid="{1708F7E3-4ACD-4200-956C-1EEEAAE9C3A0}" uniqueName="105" name="3/8/20" totalsRowFunction="sum" queryTableFieldId="105" dataDxfId="4"/>
    <tableColumn id="106" xr3:uid="{2654CC67-F031-48C7-8A33-0F076FFFAF9D}" uniqueName="106" name="3/9/20" totalsRowFunction="sum" queryTableFieldId="106" dataDxfId="3"/>
    <tableColumn id="107" xr3:uid="{E0DEB5BC-6CE6-4D42-9AA0-91E371986B2D}" uniqueName="107" name="3/10/20" totalsRowFunction="sum" queryTableFieldId="107" dataDxfId="2"/>
    <tableColumn id="108" xr3:uid="{0C7964C1-A934-457D-9150-9A80F6EB6B33}" uniqueName="108" name="3/11/20" totalsRowFunction="sum" queryTableFieldId="108" dataDxfId="1"/>
    <tableColumn id="1" xr3:uid="{4375CDB7-9765-44D7-A41F-32A5F9CE280A}" uniqueName="1" name="3/12/20" totalsRowFunction="sum" queryTableFieldId="109" dataDxfId="0"/>
    <tableColumn id="2" xr3:uid="{4855260A-130A-4102-AE5E-C4AF28E110D8}" uniqueName="2" name="3/13/20" totalsRowFunction="sum" queryTableFieldId="110"/>
    <tableColumn id="3" xr3:uid="{BE5B9FC2-7483-4E23-A5B5-406F69527E99}" uniqueName="3" name="3/14/20" totalsRowFunction="sum" queryTableFieldId="111"/>
    <tableColumn id="4" xr3:uid="{343A0AB9-391A-4ECD-9FB4-A9E92682E028}" uniqueName="4" name="3/15/20" totalsRowFunction="sum" queryTableFieldId="112"/>
    <tableColumn id="5" xr3:uid="{42D9BE4D-5DE2-46F8-B5BB-0CB11186230F}" uniqueName="5" name="3/16/20" totalsRowFunction="sum" queryTableFieldId="113"/>
    <tableColumn id="6" xr3:uid="{EEF2D751-F32A-4C9A-A468-AC841FFFA5A5}" uniqueName="6" name="3/17/20" queryTableFieldId="114"/>
    <tableColumn id="7" xr3:uid="{10AAE6D6-48E7-4D46-965F-7A876DC5ED01}" uniqueName="7" name="3/18/20" queryTableFieldId="115"/>
    <tableColumn id="8" xr3:uid="{45CF279D-F9BE-4B10-8DC1-4F55BDD22114}" uniqueName="8" name="3/19/20" queryTableFieldId="116"/>
    <tableColumn id="9" xr3:uid="{06FED128-4745-499F-8544-44B3CF52B79C}" uniqueName="9" name="3/20/20" queryTableFieldId="117"/>
    <tableColumn id="10" xr3:uid="{691EDAF1-03FD-4C38-BD7E-4E276DD4737A}" uniqueName="10" name="3/21/20" queryTableFieldId="118"/>
    <tableColumn id="11" xr3:uid="{D36256B5-91FF-4B65-8FAA-09F84F9E0C83}" uniqueName="11" name="3/22/20" queryTableFieldId="119"/>
    <tableColumn id="12" xr3:uid="{968C2DE9-8418-4BBC-B60B-1C5717EE7DD7}" uniqueName="12" name="3/23/20" queryTableFieldId="120"/>
    <tableColumn id="13" xr3:uid="{77237203-D3CF-41F5-A587-7F24CD122117}" uniqueName="13" name="3/24/20" queryTableFieldId="12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061502E-DCAB-4684-9730-31E6C5013DC1}" name="WorldPop" displayName="WorldPop" ref="A1:C245" totalsRowShown="0">
  <autoFilter ref="A1:C245" xr:uid="{6B35BA01-86D1-40B3-BACA-4B93ED102CE7}"/>
  <tableColumns count="3">
    <tableColumn id="1" xr3:uid="{B55C2E3B-EC18-4126-BDA9-F757C08B3825}" name="country"/>
    <tableColumn id="2" xr3:uid="{C441C42A-B5F8-48FB-B4AA-2DF7CB65F237}" name="pop"/>
    <tableColumn id="3" xr3:uid="{24248AF6-4B58-4D05-8907-B671CF9C18CA}" name="Colour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920C3-B53D-4045-915F-3FCE860555E4}">
  <sheetPr codeName="Sheet8"/>
  <dimension ref="A1:Q108"/>
  <sheetViews>
    <sheetView workbookViewId="0">
      <selection activeCell="L36" sqref="L36"/>
    </sheetView>
  </sheetViews>
  <sheetFormatPr defaultRowHeight="14.4" x14ac:dyDescent="0.3"/>
  <cols>
    <col min="1" max="1" width="10.5546875" bestFit="1" customWidth="1"/>
    <col min="2" max="2" width="25.88671875" bestFit="1" customWidth="1"/>
    <col min="3" max="3" width="18" bestFit="1" customWidth="1"/>
    <col min="4" max="4" width="18.6640625" bestFit="1" customWidth="1"/>
    <col min="5" max="5" width="13.21875" bestFit="1" customWidth="1"/>
    <col min="6" max="6" width="16.109375" bestFit="1" customWidth="1"/>
    <col min="7" max="7" width="11.21875" bestFit="1" customWidth="1"/>
    <col min="8" max="8" width="9.6640625" bestFit="1" customWidth="1"/>
    <col min="9" max="9" width="18.109375" bestFit="1" customWidth="1"/>
    <col min="10" max="10" width="7.44140625" bestFit="1" customWidth="1"/>
    <col min="17" max="17" width="10.5546875" bestFit="1" customWidth="1"/>
  </cols>
  <sheetData>
    <row r="1" spans="1:10" x14ac:dyDescent="0.3">
      <c r="A1" t="s">
        <v>412</v>
      </c>
      <c r="B1" t="s">
        <v>280</v>
      </c>
      <c r="C1" t="s">
        <v>41</v>
      </c>
      <c r="D1" t="s">
        <v>117</v>
      </c>
      <c r="E1" t="s">
        <v>51</v>
      </c>
      <c r="F1" t="s">
        <v>58</v>
      </c>
      <c r="G1" t="s">
        <v>105</v>
      </c>
      <c r="H1" t="s">
        <v>44</v>
      </c>
      <c r="I1" t="s">
        <v>93</v>
      </c>
      <c r="J1" t="s">
        <v>411</v>
      </c>
    </row>
    <row r="2" spans="1:10" x14ac:dyDescent="0.3">
      <c r="A2" s="2">
        <v>43891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1</v>
      </c>
    </row>
    <row r="3" spans="1:10" x14ac:dyDescent="0.3">
      <c r="A3" s="2">
        <v>43892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</row>
    <row r="4" spans="1:10" x14ac:dyDescent="0.3">
      <c r="A4" s="2">
        <v>43893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</v>
      </c>
      <c r="J4">
        <v>1</v>
      </c>
    </row>
    <row r="5" spans="1:10" x14ac:dyDescent="0.3">
      <c r="A5" s="2">
        <v>43894</v>
      </c>
      <c r="B5">
        <v>0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2</v>
      </c>
    </row>
    <row r="6" spans="1:10" x14ac:dyDescent="0.3">
      <c r="A6" s="2">
        <v>43895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2</v>
      </c>
    </row>
    <row r="7" spans="1:10" x14ac:dyDescent="0.3">
      <c r="A7" s="2">
        <v>43896</v>
      </c>
      <c r="B7">
        <v>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2</v>
      </c>
    </row>
    <row r="8" spans="1:10" x14ac:dyDescent="0.3">
      <c r="A8" s="2">
        <v>43897</v>
      </c>
      <c r="B8">
        <v>0</v>
      </c>
      <c r="C8">
        <v>1</v>
      </c>
      <c r="D8">
        <v>0</v>
      </c>
      <c r="E8">
        <v>0</v>
      </c>
      <c r="F8">
        <v>0</v>
      </c>
      <c r="G8">
        <v>0</v>
      </c>
      <c r="H8">
        <v>0</v>
      </c>
      <c r="I8">
        <v>1</v>
      </c>
      <c r="J8">
        <v>2</v>
      </c>
    </row>
    <row r="9" spans="1:10" x14ac:dyDescent="0.3">
      <c r="A9" s="2">
        <v>43898</v>
      </c>
      <c r="B9">
        <v>0</v>
      </c>
      <c r="C9">
        <v>2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3</v>
      </c>
    </row>
    <row r="10" spans="1:10" x14ac:dyDescent="0.3">
      <c r="A10" s="2">
        <v>43899</v>
      </c>
      <c r="B10">
        <v>0</v>
      </c>
      <c r="C10">
        <v>2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3</v>
      </c>
    </row>
    <row r="11" spans="1:10" x14ac:dyDescent="0.3">
      <c r="A11" s="2">
        <v>43900</v>
      </c>
      <c r="B11">
        <v>0</v>
      </c>
      <c r="C11">
        <v>2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J11">
        <v>3</v>
      </c>
    </row>
    <row r="12" spans="1:10" x14ac:dyDescent="0.3">
      <c r="A12" s="2">
        <v>43901</v>
      </c>
      <c r="B12">
        <v>0</v>
      </c>
      <c r="C12">
        <v>2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3</v>
      </c>
    </row>
    <row r="13" spans="1:10" x14ac:dyDescent="0.3">
      <c r="A13" s="2">
        <v>43902</v>
      </c>
      <c r="B13">
        <v>0</v>
      </c>
      <c r="C13">
        <v>2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3</v>
      </c>
    </row>
    <row r="14" spans="1:10" x14ac:dyDescent="0.3">
      <c r="A14" s="2">
        <v>43903</v>
      </c>
      <c r="B14">
        <v>0</v>
      </c>
      <c r="C14">
        <v>2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3</v>
      </c>
    </row>
    <row r="15" spans="1:10" x14ac:dyDescent="0.3">
      <c r="A15" s="2">
        <v>43904</v>
      </c>
      <c r="B15">
        <v>0</v>
      </c>
      <c r="C15">
        <v>2</v>
      </c>
      <c r="D15">
        <v>0</v>
      </c>
      <c r="E15">
        <v>0</v>
      </c>
      <c r="F15">
        <v>0</v>
      </c>
      <c r="G15">
        <v>0</v>
      </c>
      <c r="H15">
        <v>0</v>
      </c>
      <c r="I15">
        <v>1</v>
      </c>
      <c r="J15">
        <v>3</v>
      </c>
    </row>
    <row r="16" spans="1:10" x14ac:dyDescent="0.3">
      <c r="A16" s="2">
        <v>43905</v>
      </c>
      <c r="B16">
        <v>0</v>
      </c>
      <c r="C16">
        <v>2</v>
      </c>
      <c r="D16">
        <v>0</v>
      </c>
      <c r="E16">
        <v>0</v>
      </c>
      <c r="F16">
        <v>0</v>
      </c>
      <c r="G16">
        <v>0</v>
      </c>
      <c r="H16">
        <v>0</v>
      </c>
      <c r="I16">
        <v>1</v>
      </c>
      <c r="J16">
        <v>3</v>
      </c>
    </row>
    <row r="17" spans="1:17" x14ac:dyDescent="0.3">
      <c r="A17" s="2">
        <v>43906</v>
      </c>
      <c r="B17">
        <v>0</v>
      </c>
      <c r="C17">
        <v>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3</v>
      </c>
    </row>
    <row r="18" spans="1:17" x14ac:dyDescent="0.3">
      <c r="A18" s="2">
        <v>43907</v>
      </c>
      <c r="B18">
        <v>0</v>
      </c>
      <c r="C18">
        <v>4</v>
      </c>
      <c r="D18">
        <v>0</v>
      </c>
      <c r="E18">
        <v>0</v>
      </c>
      <c r="F18">
        <v>0</v>
      </c>
      <c r="G18">
        <v>0</v>
      </c>
      <c r="H18">
        <v>0</v>
      </c>
      <c r="I18">
        <v>1</v>
      </c>
      <c r="J18">
        <v>5</v>
      </c>
    </row>
    <row r="19" spans="1:17" x14ac:dyDescent="0.3">
      <c r="A19" s="2">
        <v>43908</v>
      </c>
      <c r="B19">
        <v>0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1</v>
      </c>
      <c r="J19">
        <v>6</v>
      </c>
    </row>
    <row r="20" spans="1:17" x14ac:dyDescent="0.3">
      <c r="A20" s="2">
        <v>43909</v>
      </c>
      <c r="B20">
        <v>0</v>
      </c>
      <c r="C20">
        <v>5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6</v>
      </c>
    </row>
    <row r="21" spans="1:17" x14ac:dyDescent="0.3">
      <c r="A21" s="2">
        <v>43910</v>
      </c>
      <c r="B21">
        <v>0</v>
      </c>
      <c r="C21">
        <v>6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>
        <v>7</v>
      </c>
    </row>
    <row r="22" spans="1:17" x14ac:dyDescent="0.3">
      <c r="A22" s="2">
        <v>43911</v>
      </c>
      <c r="B22">
        <v>0</v>
      </c>
      <c r="C22">
        <v>6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7</v>
      </c>
    </row>
    <row r="23" spans="1:17" x14ac:dyDescent="0.3">
      <c r="A23" s="2">
        <v>43912</v>
      </c>
      <c r="B23">
        <v>0</v>
      </c>
      <c r="C23">
        <v>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7</v>
      </c>
    </row>
    <row r="24" spans="1:17" x14ac:dyDescent="0.3">
      <c r="A24" s="2">
        <v>43913</v>
      </c>
      <c r="B24">
        <v>0</v>
      </c>
      <c r="C24">
        <v>6</v>
      </c>
      <c r="D24">
        <v>0</v>
      </c>
      <c r="E24">
        <v>0</v>
      </c>
      <c r="F24">
        <v>0</v>
      </c>
      <c r="G24">
        <v>0</v>
      </c>
      <c r="H24">
        <v>0</v>
      </c>
      <c r="I24">
        <v>1</v>
      </c>
      <c r="J24">
        <v>7</v>
      </c>
    </row>
    <row r="25" spans="1:17" x14ac:dyDescent="0.3">
      <c r="A25" s="2">
        <v>43914</v>
      </c>
      <c r="B25">
        <v>0</v>
      </c>
      <c r="C25">
        <v>7</v>
      </c>
      <c r="D25">
        <v>0</v>
      </c>
      <c r="E25">
        <v>0</v>
      </c>
      <c r="F25">
        <v>0</v>
      </c>
      <c r="G25">
        <v>0</v>
      </c>
      <c r="H25">
        <v>0</v>
      </c>
      <c r="I25">
        <v>1</v>
      </c>
      <c r="J25">
        <v>8</v>
      </c>
    </row>
    <row r="26" spans="1:17" x14ac:dyDescent="0.3">
      <c r="A26" s="2">
        <v>43915</v>
      </c>
    </row>
    <row r="27" spans="1:17" x14ac:dyDescent="0.3">
      <c r="A27" s="2">
        <v>43916</v>
      </c>
      <c r="Q27" s="2">
        <v>43908</v>
      </c>
    </row>
    <row r="28" spans="1:17" x14ac:dyDescent="0.3">
      <c r="A28" s="2">
        <v>43917</v>
      </c>
      <c r="Q28" s="2">
        <v>43909</v>
      </c>
    </row>
    <row r="29" spans="1:17" x14ac:dyDescent="0.3">
      <c r="A29" s="2">
        <v>43918</v>
      </c>
      <c r="Q29" s="2">
        <v>43910</v>
      </c>
    </row>
    <row r="30" spans="1:17" x14ac:dyDescent="0.3">
      <c r="A30" s="2">
        <v>43919</v>
      </c>
      <c r="Q30" s="2">
        <v>43911</v>
      </c>
    </row>
    <row r="31" spans="1:17" x14ac:dyDescent="0.3">
      <c r="A31" s="2">
        <v>43920</v>
      </c>
      <c r="Q31" s="2">
        <v>43912</v>
      </c>
    </row>
    <row r="32" spans="1:17" x14ac:dyDescent="0.3">
      <c r="A32" s="2">
        <v>43921</v>
      </c>
      <c r="Q32" s="2">
        <v>43913</v>
      </c>
    </row>
    <row r="33" spans="17:17" x14ac:dyDescent="0.3">
      <c r="Q33" s="2">
        <v>43914</v>
      </c>
    </row>
    <row r="34" spans="17:17" x14ac:dyDescent="0.3">
      <c r="Q34" s="2">
        <v>43915</v>
      </c>
    </row>
    <row r="35" spans="17:17" x14ac:dyDescent="0.3">
      <c r="Q35" s="2">
        <v>43916</v>
      </c>
    </row>
    <row r="36" spans="17:17" x14ac:dyDescent="0.3">
      <c r="Q36" s="2">
        <v>43917</v>
      </c>
    </row>
    <row r="37" spans="17:17" x14ac:dyDescent="0.3">
      <c r="Q37" s="2">
        <v>43918</v>
      </c>
    </row>
    <row r="38" spans="17:17" x14ac:dyDescent="0.3">
      <c r="Q38" s="2">
        <v>43919</v>
      </c>
    </row>
    <row r="39" spans="17:17" x14ac:dyDescent="0.3">
      <c r="Q39" s="2">
        <v>43920</v>
      </c>
    </row>
    <row r="40" spans="17:17" x14ac:dyDescent="0.3">
      <c r="Q40" s="2">
        <v>43921</v>
      </c>
    </row>
    <row r="41" spans="17:17" x14ac:dyDescent="0.3">
      <c r="Q41" s="2">
        <v>43922</v>
      </c>
    </row>
    <row r="42" spans="17:17" x14ac:dyDescent="0.3">
      <c r="Q42" s="2">
        <v>43923</v>
      </c>
    </row>
    <row r="43" spans="17:17" x14ac:dyDescent="0.3">
      <c r="Q43" s="2">
        <v>43924</v>
      </c>
    </row>
    <row r="44" spans="17:17" x14ac:dyDescent="0.3">
      <c r="Q44" s="2">
        <v>43925</v>
      </c>
    </row>
    <row r="45" spans="17:17" x14ac:dyDescent="0.3">
      <c r="Q45" s="2">
        <v>43926</v>
      </c>
    </row>
    <row r="46" spans="17:17" x14ac:dyDescent="0.3">
      <c r="Q46" s="2">
        <v>43927</v>
      </c>
    </row>
    <row r="47" spans="17:17" x14ac:dyDescent="0.3">
      <c r="Q47" s="2">
        <v>43928</v>
      </c>
    </row>
    <row r="48" spans="17:17" x14ac:dyDescent="0.3">
      <c r="Q48" s="2">
        <v>43929</v>
      </c>
    </row>
    <row r="49" spans="17:17" x14ac:dyDescent="0.3">
      <c r="Q49" s="2">
        <v>43930</v>
      </c>
    </row>
    <row r="50" spans="17:17" x14ac:dyDescent="0.3">
      <c r="Q50" s="2">
        <v>43931</v>
      </c>
    </row>
    <row r="51" spans="17:17" x14ac:dyDescent="0.3">
      <c r="Q51" s="2">
        <v>43932</v>
      </c>
    </row>
    <row r="52" spans="17:17" x14ac:dyDescent="0.3">
      <c r="Q52" s="2">
        <v>43933</v>
      </c>
    </row>
    <row r="53" spans="17:17" x14ac:dyDescent="0.3">
      <c r="Q53" s="2">
        <v>43934</v>
      </c>
    </row>
    <row r="54" spans="17:17" x14ac:dyDescent="0.3">
      <c r="Q54" s="2">
        <v>43935</v>
      </c>
    </row>
    <row r="55" spans="17:17" x14ac:dyDescent="0.3">
      <c r="Q55" s="2">
        <v>43936</v>
      </c>
    </row>
    <row r="56" spans="17:17" x14ac:dyDescent="0.3">
      <c r="Q56" s="2">
        <v>43937</v>
      </c>
    </row>
    <row r="57" spans="17:17" x14ac:dyDescent="0.3">
      <c r="Q57" s="2">
        <v>43938</v>
      </c>
    </row>
    <row r="58" spans="17:17" x14ac:dyDescent="0.3">
      <c r="Q58" s="2">
        <v>43939</v>
      </c>
    </row>
    <row r="59" spans="17:17" x14ac:dyDescent="0.3">
      <c r="Q59" s="2">
        <v>43940</v>
      </c>
    </row>
    <row r="60" spans="17:17" x14ac:dyDescent="0.3">
      <c r="Q60" s="2">
        <v>43941</v>
      </c>
    </row>
    <row r="61" spans="17:17" x14ac:dyDescent="0.3">
      <c r="Q61" s="2">
        <v>43942</v>
      </c>
    </row>
    <row r="62" spans="17:17" x14ac:dyDescent="0.3">
      <c r="Q62" s="2">
        <v>43943</v>
      </c>
    </row>
    <row r="63" spans="17:17" x14ac:dyDescent="0.3">
      <c r="Q63" s="2">
        <v>43944</v>
      </c>
    </row>
    <row r="64" spans="17:17" x14ac:dyDescent="0.3">
      <c r="Q64" s="2">
        <v>43945</v>
      </c>
    </row>
    <row r="65" spans="17:17" x14ac:dyDescent="0.3">
      <c r="Q65" s="2">
        <v>43946</v>
      </c>
    </row>
    <row r="66" spans="17:17" x14ac:dyDescent="0.3">
      <c r="Q66" s="2">
        <v>43947</v>
      </c>
    </row>
    <row r="67" spans="17:17" x14ac:dyDescent="0.3">
      <c r="Q67" s="2">
        <v>43948</v>
      </c>
    </row>
    <row r="68" spans="17:17" x14ac:dyDescent="0.3">
      <c r="Q68" s="2">
        <v>43949</v>
      </c>
    </row>
    <row r="69" spans="17:17" x14ac:dyDescent="0.3">
      <c r="Q69" s="2">
        <v>43950</v>
      </c>
    </row>
    <row r="70" spans="17:17" x14ac:dyDescent="0.3">
      <c r="Q70" s="2">
        <v>43951</v>
      </c>
    </row>
    <row r="71" spans="17:17" x14ac:dyDescent="0.3">
      <c r="Q71" s="2">
        <v>43952</v>
      </c>
    </row>
    <row r="72" spans="17:17" x14ac:dyDescent="0.3">
      <c r="Q72" s="2">
        <v>43953</v>
      </c>
    </row>
    <row r="73" spans="17:17" x14ac:dyDescent="0.3">
      <c r="Q73" s="2">
        <v>43954</v>
      </c>
    </row>
    <row r="74" spans="17:17" x14ac:dyDescent="0.3">
      <c r="Q74" s="2">
        <v>43955</v>
      </c>
    </row>
    <row r="75" spans="17:17" x14ac:dyDescent="0.3">
      <c r="Q75" s="2">
        <v>43956</v>
      </c>
    </row>
    <row r="76" spans="17:17" x14ac:dyDescent="0.3">
      <c r="Q76" s="2">
        <v>43957</v>
      </c>
    </row>
    <row r="77" spans="17:17" x14ac:dyDescent="0.3">
      <c r="Q77" s="2">
        <v>43958</v>
      </c>
    </row>
    <row r="78" spans="17:17" x14ac:dyDescent="0.3">
      <c r="Q78" s="2">
        <v>43959</v>
      </c>
    </row>
    <row r="79" spans="17:17" x14ac:dyDescent="0.3">
      <c r="Q79" s="2">
        <v>43960</v>
      </c>
    </row>
    <row r="80" spans="17:17" x14ac:dyDescent="0.3">
      <c r="Q80" s="2">
        <v>43961</v>
      </c>
    </row>
    <row r="81" spans="17:17" x14ac:dyDescent="0.3">
      <c r="Q81" s="2">
        <v>43962</v>
      </c>
    </row>
    <row r="82" spans="17:17" x14ac:dyDescent="0.3">
      <c r="Q82" s="2">
        <v>43963</v>
      </c>
    </row>
    <row r="83" spans="17:17" x14ac:dyDescent="0.3">
      <c r="Q83" s="2">
        <v>43964</v>
      </c>
    </row>
    <row r="84" spans="17:17" x14ac:dyDescent="0.3">
      <c r="Q84" s="2">
        <v>43965</v>
      </c>
    </row>
    <row r="85" spans="17:17" x14ac:dyDescent="0.3">
      <c r="Q85" s="2">
        <v>43966</v>
      </c>
    </row>
    <row r="86" spans="17:17" x14ac:dyDescent="0.3">
      <c r="Q86" s="2">
        <v>43967</v>
      </c>
    </row>
    <row r="87" spans="17:17" x14ac:dyDescent="0.3">
      <c r="Q87" s="2">
        <v>43968</v>
      </c>
    </row>
    <row r="88" spans="17:17" x14ac:dyDescent="0.3">
      <c r="Q88" s="2">
        <v>43969</v>
      </c>
    </row>
    <row r="89" spans="17:17" x14ac:dyDescent="0.3">
      <c r="Q89" s="2">
        <v>43970</v>
      </c>
    </row>
    <row r="90" spans="17:17" x14ac:dyDescent="0.3">
      <c r="Q90" s="2">
        <v>43971</v>
      </c>
    </row>
    <row r="91" spans="17:17" x14ac:dyDescent="0.3">
      <c r="Q91" s="2">
        <v>43972</v>
      </c>
    </row>
    <row r="92" spans="17:17" x14ac:dyDescent="0.3">
      <c r="Q92" s="2">
        <v>43973</v>
      </c>
    </row>
    <row r="93" spans="17:17" x14ac:dyDescent="0.3">
      <c r="Q93" s="2">
        <v>43974</v>
      </c>
    </row>
    <row r="94" spans="17:17" x14ac:dyDescent="0.3">
      <c r="Q94" s="2">
        <v>43975</v>
      </c>
    </row>
    <row r="95" spans="17:17" x14ac:dyDescent="0.3">
      <c r="Q95" s="2">
        <v>43976</v>
      </c>
    </row>
    <row r="96" spans="17:17" x14ac:dyDescent="0.3">
      <c r="Q96" s="2">
        <v>43977</v>
      </c>
    </row>
    <row r="97" spans="17:17" x14ac:dyDescent="0.3">
      <c r="Q97" s="2">
        <v>43978</v>
      </c>
    </row>
    <row r="98" spans="17:17" x14ac:dyDescent="0.3">
      <c r="Q98" s="2">
        <v>43979</v>
      </c>
    </row>
    <row r="99" spans="17:17" x14ac:dyDescent="0.3">
      <c r="Q99" s="2">
        <v>43980</v>
      </c>
    </row>
    <row r="100" spans="17:17" x14ac:dyDescent="0.3">
      <c r="Q100" s="2">
        <v>43981</v>
      </c>
    </row>
    <row r="101" spans="17:17" x14ac:dyDescent="0.3">
      <c r="Q101" s="2">
        <v>43982</v>
      </c>
    </row>
    <row r="102" spans="17:17" x14ac:dyDescent="0.3">
      <c r="Q102" s="2">
        <v>43983</v>
      </c>
    </row>
    <row r="103" spans="17:17" x14ac:dyDescent="0.3">
      <c r="Q103" s="2">
        <v>43984</v>
      </c>
    </row>
    <row r="104" spans="17:17" x14ac:dyDescent="0.3">
      <c r="Q104" s="2">
        <v>43985</v>
      </c>
    </row>
    <row r="105" spans="17:17" x14ac:dyDescent="0.3">
      <c r="Q105" s="2">
        <v>43986</v>
      </c>
    </row>
    <row r="106" spans="17:17" x14ac:dyDescent="0.3">
      <c r="Q106" s="2">
        <v>43987</v>
      </c>
    </row>
    <row r="107" spans="17:17" x14ac:dyDescent="0.3">
      <c r="Q107" s="2">
        <v>43988</v>
      </c>
    </row>
    <row r="108" spans="17:17" x14ac:dyDescent="0.3">
      <c r="Q108" s="2">
        <v>43989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7642-8098-4A71-9E8B-40C988E66F98}">
  <sheetPr codeName="Sheet5"/>
  <dimension ref="A1:Q156"/>
  <sheetViews>
    <sheetView topLeftCell="A46" workbookViewId="0">
      <selection activeCell="E74" sqref="E74"/>
    </sheetView>
  </sheetViews>
  <sheetFormatPr defaultRowHeight="14.4" x14ac:dyDescent="0.3"/>
  <cols>
    <col min="1" max="1" width="10.5546875" style="2" bestFit="1" customWidth="1"/>
    <col min="2" max="2" width="25.88671875" bestFit="1" customWidth="1"/>
    <col min="3" max="3" width="18" bestFit="1" customWidth="1"/>
    <col min="4" max="4" width="18.6640625" bestFit="1" customWidth="1"/>
    <col min="5" max="5" width="13.21875" bestFit="1" customWidth="1"/>
    <col min="6" max="6" width="16.109375" bestFit="1" customWidth="1"/>
    <col min="7" max="7" width="11.21875" bestFit="1" customWidth="1"/>
    <col min="8" max="8" width="9.6640625" bestFit="1" customWidth="1"/>
    <col min="9" max="9" width="18.109375" bestFit="1" customWidth="1"/>
    <col min="10" max="10" width="7.44140625" customWidth="1"/>
    <col min="11" max="11" width="8.88671875" customWidth="1"/>
    <col min="12" max="12" width="10.5546875" bestFit="1" customWidth="1"/>
    <col min="15" max="17" width="10.5546875" bestFit="1" customWidth="1"/>
  </cols>
  <sheetData>
    <row r="1" spans="1:10" x14ac:dyDescent="0.3">
      <c r="A1" s="2" t="s">
        <v>412</v>
      </c>
      <c r="B1" t="s">
        <v>280</v>
      </c>
      <c r="C1" t="s">
        <v>41</v>
      </c>
      <c r="D1" t="s">
        <v>117</v>
      </c>
      <c r="E1" t="s">
        <v>51</v>
      </c>
      <c r="F1" t="s">
        <v>58</v>
      </c>
      <c r="G1" t="s">
        <v>105</v>
      </c>
      <c r="H1" t="s">
        <v>44</v>
      </c>
      <c r="I1" t="s">
        <v>93</v>
      </c>
      <c r="J1" t="s">
        <v>411</v>
      </c>
    </row>
    <row r="2" spans="1:10" hidden="1" x14ac:dyDescent="0.3">
      <c r="A2" s="2">
        <v>43856</v>
      </c>
      <c r="B2">
        <v>0</v>
      </c>
      <c r="C2">
        <v>3</v>
      </c>
      <c r="D2">
        <v>0</v>
      </c>
      <c r="E2">
        <v>0</v>
      </c>
      <c r="F2">
        <v>0</v>
      </c>
      <c r="G2">
        <v>0</v>
      </c>
      <c r="H2">
        <v>1</v>
      </c>
      <c r="I2">
        <v>0</v>
      </c>
      <c r="J2">
        <v>4</v>
      </c>
    </row>
    <row r="3" spans="1:10" hidden="1" x14ac:dyDescent="0.3">
      <c r="A3" s="2">
        <v>43857</v>
      </c>
      <c r="B3">
        <v>0</v>
      </c>
      <c r="C3">
        <v>4</v>
      </c>
      <c r="D3">
        <v>0</v>
      </c>
      <c r="E3">
        <v>0</v>
      </c>
      <c r="F3">
        <v>0</v>
      </c>
      <c r="G3">
        <v>0</v>
      </c>
      <c r="H3">
        <v>1</v>
      </c>
      <c r="I3">
        <v>0</v>
      </c>
      <c r="J3">
        <v>5</v>
      </c>
    </row>
    <row r="4" spans="1:10" hidden="1" x14ac:dyDescent="0.3">
      <c r="A4" s="2">
        <v>43858</v>
      </c>
      <c r="B4">
        <v>0</v>
      </c>
      <c r="C4">
        <v>4</v>
      </c>
      <c r="D4">
        <v>0</v>
      </c>
      <c r="E4">
        <v>0</v>
      </c>
      <c r="F4">
        <v>0</v>
      </c>
      <c r="G4">
        <v>0</v>
      </c>
      <c r="H4">
        <v>1</v>
      </c>
      <c r="I4">
        <v>0</v>
      </c>
      <c r="J4">
        <v>5</v>
      </c>
    </row>
    <row r="5" spans="1:10" hidden="1" x14ac:dyDescent="0.3">
      <c r="A5" s="2">
        <v>43859</v>
      </c>
      <c r="B5">
        <v>0</v>
      </c>
      <c r="C5">
        <v>4</v>
      </c>
      <c r="D5">
        <v>0</v>
      </c>
      <c r="E5">
        <v>1</v>
      </c>
      <c r="F5">
        <v>0</v>
      </c>
      <c r="G5">
        <v>0</v>
      </c>
      <c r="H5">
        <v>1</v>
      </c>
      <c r="I5">
        <v>0</v>
      </c>
      <c r="J5">
        <v>6</v>
      </c>
    </row>
    <row r="6" spans="1:10" hidden="1" x14ac:dyDescent="0.3">
      <c r="A6" s="2">
        <v>43860</v>
      </c>
      <c r="B6">
        <v>0</v>
      </c>
      <c r="C6">
        <v>4</v>
      </c>
      <c r="D6">
        <v>0</v>
      </c>
      <c r="E6">
        <v>3</v>
      </c>
      <c r="F6">
        <v>0</v>
      </c>
      <c r="G6">
        <v>0</v>
      </c>
      <c r="H6">
        <v>2</v>
      </c>
      <c r="I6">
        <v>0</v>
      </c>
      <c r="J6">
        <v>9</v>
      </c>
    </row>
    <row r="7" spans="1:10" hidden="1" x14ac:dyDescent="0.3">
      <c r="A7" s="2">
        <v>43861</v>
      </c>
      <c r="B7">
        <v>0</v>
      </c>
      <c r="C7">
        <v>4</v>
      </c>
      <c r="D7">
        <v>0</v>
      </c>
      <c r="E7">
        <v>2</v>
      </c>
      <c r="F7">
        <v>0</v>
      </c>
      <c r="G7">
        <v>0</v>
      </c>
      <c r="H7">
        <v>3</v>
      </c>
      <c r="I7">
        <v>0</v>
      </c>
      <c r="J7">
        <v>9</v>
      </c>
    </row>
    <row r="8" spans="1:10" hidden="1" x14ac:dyDescent="0.3">
      <c r="A8" s="2">
        <v>43862</v>
      </c>
      <c r="B8">
        <v>0</v>
      </c>
      <c r="C8">
        <v>4</v>
      </c>
      <c r="D8">
        <v>0</v>
      </c>
      <c r="E8">
        <v>3</v>
      </c>
      <c r="F8">
        <v>1</v>
      </c>
      <c r="G8">
        <v>0</v>
      </c>
      <c r="H8">
        <v>4</v>
      </c>
      <c r="I8">
        <v>0</v>
      </c>
      <c r="J8">
        <v>12</v>
      </c>
    </row>
    <row r="9" spans="1:10" hidden="1" x14ac:dyDescent="0.3">
      <c r="A9" s="2">
        <v>43863</v>
      </c>
      <c r="B9">
        <v>0</v>
      </c>
      <c r="C9">
        <v>4</v>
      </c>
      <c r="D9">
        <v>0</v>
      </c>
      <c r="E9">
        <v>2</v>
      </c>
      <c r="F9">
        <v>2</v>
      </c>
      <c r="G9">
        <v>0</v>
      </c>
      <c r="H9">
        <v>4</v>
      </c>
      <c r="I9">
        <v>0</v>
      </c>
      <c r="J9">
        <v>12</v>
      </c>
    </row>
    <row r="10" spans="1:10" hidden="1" x14ac:dyDescent="0.3">
      <c r="A10" s="2">
        <v>43864</v>
      </c>
      <c r="B10">
        <v>0</v>
      </c>
      <c r="C10">
        <v>4</v>
      </c>
      <c r="D10">
        <v>0</v>
      </c>
      <c r="E10">
        <v>2</v>
      </c>
      <c r="F10">
        <v>2</v>
      </c>
      <c r="G10">
        <v>0</v>
      </c>
      <c r="H10">
        <v>4</v>
      </c>
      <c r="I10">
        <v>0</v>
      </c>
      <c r="J10">
        <v>12</v>
      </c>
    </row>
    <row r="11" spans="1:10" hidden="1" x14ac:dyDescent="0.3">
      <c r="A11" s="2">
        <v>43865</v>
      </c>
      <c r="B11">
        <v>0</v>
      </c>
      <c r="C11">
        <v>4</v>
      </c>
      <c r="D11">
        <v>0</v>
      </c>
      <c r="E11">
        <v>3</v>
      </c>
      <c r="F11">
        <v>2</v>
      </c>
      <c r="G11">
        <v>0</v>
      </c>
      <c r="H11">
        <v>4</v>
      </c>
      <c r="I11">
        <v>0</v>
      </c>
      <c r="J11">
        <v>13</v>
      </c>
    </row>
    <row r="12" spans="1:10" hidden="1" x14ac:dyDescent="0.3">
      <c r="A12" s="2">
        <v>43866</v>
      </c>
      <c r="B12">
        <v>0</v>
      </c>
      <c r="C12">
        <v>4</v>
      </c>
      <c r="D12">
        <v>0</v>
      </c>
      <c r="E12">
        <v>3</v>
      </c>
      <c r="F12">
        <v>2</v>
      </c>
      <c r="G12">
        <v>0</v>
      </c>
      <c r="H12">
        <v>4</v>
      </c>
      <c r="I12">
        <v>0</v>
      </c>
      <c r="J12">
        <v>13</v>
      </c>
    </row>
    <row r="13" spans="1:10" hidden="1" x14ac:dyDescent="0.3">
      <c r="A13" s="2">
        <v>43867</v>
      </c>
      <c r="B13">
        <v>0</v>
      </c>
      <c r="C13">
        <v>4</v>
      </c>
      <c r="D13">
        <v>0</v>
      </c>
      <c r="E13">
        <v>4</v>
      </c>
      <c r="F13">
        <v>2</v>
      </c>
      <c r="G13">
        <v>0</v>
      </c>
      <c r="H13">
        <v>4</v>
      </c>
      <c r="I13">
        <v>0</v>
      </c>
      <c r="J13">
        <v>14</v>
      </c>
    </row>
    <row r="14" spans="1:10" hidden="1" x14ac:dyDescent="0.3">
      <c r="A14" s="2">
        <v>43868</v>
      </c>
      <c r="B14">
        <v>0</v>
      </c>
      <c r="C14">
        <v>4</v>
      </c>
      <c r="D14">
        <v>0</v>
      </c>
      <c r="E14">
        <v>5</v>
      </c>
      <c r="F14">
        <v>2</v>
      </c>
      <c r="G14">
        <v>0</v>
      </c>
      <c r="H14">
        <v>4</v>
      </c>
      <c r="I14">
        <v>0</v>
      </c>
      <c r="J14">
        <v>15</v>
      </c>
    </row>
    <row r="15" spans="1:10" hidden="1" x14ac:dyDescent="0.3">
      <c r="A15" s="2">
        <v>43869</v>
      </c>
      <c r="B15">
        <v>0</v>
      </c>
      <c r="C15">
        <v>4</v>
      </c>
      <c r="D15">
        <v>0</v>
      </c>
      <c r="E15">
        <v>5</v>
      </c>
      <c r="F15">
        <v>2</v>
      </c>
      <c r="G15">
        <v>0</v>
      </c>
      <c r="H15">
        <v>4</v>
      </c>
      <c r="I15">
        <v>0</v>
      </c>
      <c r="J15">
        <v>15</v>
      </c>
    </row>
    <row r="16" spans="1:10" hidden="1" x14ac:dyDescent="0.3">
      <c r="A16" s="2">
        <v>43870</v>
      </c>
      <c r="B16">
        <v>0</v>
      </c>
      <c r="C16">
        <v>4</v>
      </c>
      <c r="D16">
        <v>0</v>
      </c>
      <c r="E16">
        <v>5</v>
      </c>
      <c r="F16">
        <v>2</v>
      </c>
      <c r="G16">
        <v>0</v>
      </c>
      <c r="H16">
        <v>4</v>
      </c>
      <c r="I16">
        <v>0</v>
      </c>
      <c r="J16">
        <v>15</v>
      </c>
    </row>
    <row r="17" spans="1:10" hidden="1" x14ac:dyDescent="0.3">
      <c r="A17" s="2">
        <v>43871</v>
      </c>
      <c r="B17">
        <v>0</v>
      </c>
      <c r="C17">
        <v>4</v>
      </c>
      <c r="D17">
        <v>0</v>
      </c>
      <c r="E17">
        <v>5</v>
      </c>
      <c r="F17">
        <v>2</v>
      </c>
      <c r="G17">
        <v>0</v>
      </c>
      <c r="H17">
        <v>4</v>
      </c>
      <c r="I17">
        <v>0</v>
      </c>
      <c r="J17">
        <v>15</v>
      </c>
    </row>
    <row r="18" spans="1:10" hidden="1" x14ac:dyDescent="0.3">
      <c r="A18" s="2">
        <v>43872</v>
      </c>
      <c r="B18">
        <v>0</v>
      </c>
      <c r="C18">
        <v>4</v>
      </c>
      <c r="D18">
        <v>0</v>
      </c>
      <c r="E18">
        <v>5</v>
      </c>
      <c r="F18">
        <v>2</v>
      </c>
      <c r="G18">
        <v>0</v>
      </c>
      <c r="H18">
        <v>4</v>
      </c>
      <c r="I18">
        <v>0</v>
      </c>
      <c r="J18">
        <v>15</v>
      </c>
    </row>
    <row r="19" spans="1:10" hidden="1" x14ac:dyDescent="0.3">
      <c r="A19" s="2">
        <v>43873</v>
      </c>
      <c r="B19">
        <v>0</v>
      </c>
      <c r="C19">
        <v>4</v>
      </c>
      <c r="D19">
        <v>0</v>
      </c>
      <c r="E19">
        <v>5</v>
      </c>
      <c r="F19">
        <v>2</v>
      </c>
      <c r="G19">
        <v>0</v>
      </c>
      <c r="H19">
        <v>4</v>
      </c>
      <c r="I19">
        <v>0</v>
      </c>
      <c r="J19">
        <v>15</v>
      </c>
    </row>
    <row r="20" spans="1:10" hidden="1" x14ac:dyDescent="0.3">
      <c r="A20" s="2">
        <v>43874</v>
      </c>
      <c r="B20">
        <v>0</v>
      </c>
      <c r="C20">
        <v>4</v>
      </c>
      <c r="D20">
        <v>0</v>
      </c>
      <c r="E20">
        <v>5</v>
      </c>
      <c r="F20">
        <v>2</v>
      </c>
      <c r="G20">
        <v>0</v>
      </c>
      <c r="H20">
        <v>4</v>
      </c>
      <c r="I20">
        <v>0</v>
      </c>
      <c r="J20">
        <v>15</v>
      </c>
    </row>
    <row r="21" spans="1:10" hidden="1" x14ac:dyDescent="0.3">
      <c r="A21" s="2">
        <v>43875</v>
      </c>
      <c r="B21">
        <v>0</v>
      </c>
      <c r="C21">
        <v>4</v>
      </c>
      <c r="D21">
        <v>0</v>
      </c>
      <c r="E21">
        <v>5</v>
      </c>
      <c r="F21">
        <v>2</v>
      </c>
      <c r="G21">
        <v>0</v>
      </c>
      <c r="H21">
        <v>4</v>
      </c>
      <c r="I21">
        <v>0</v>
      </c>
      <c r="J21">
        <v>15</v>
      </c>
    </row>
    <row r="22" spans="1:10" hidden="1" x14ac:dyDescent="0.3">
      <c r="A22" s="2">
        <v>43876</v>
      </c>
      <c r="B22">
        <v>0</v>
      </c>
      <c r="C22">
        <v>4</v>
      </c>
      <c r="D22">
        <v>0</v>
      </c>
      <c r="E22">
        <v>5</v>
      </c>
      <c r="F22">
        <v>2</v>
      </c>
      <c r="G22">
        <v>0</v>
      </c>
      <c r="H22">
        <v>4</v>
      </c>
      <c r="I22">
        <v>0</v>
      </c>
      <c r="J22">
        <v>15</v>
      </c>
    </row>
    <row r="23" spans="1:10" hidden="1" x14ac:dyDescent="0.3">
      <c r="A23" s="2">
        <v>43877</v>
      </c>
      <c r="B23">
        <v>0</v>
      </c>
      <c r="C23">
        <v>4</v>
      </c>
      <c r="D23">
        <v>0</v>
      </c>
      <c r="E23">
        <v>5</v>
      </c>
      <c r="F23">
        <v>2</v>
      </c>
      <c r="G23">
        <v>0</v>
      </c>
      <c r="H23">
        <v>4</v>
      </c>
      <c r="I23">
        <v>0</v>
      </c>
      <c r="J23">
        <v>15</v>
      </c>
    </row>
    <row r="24" spans="1:10" hidden="1" x14ac:dyDescent="0.3">
      <c r="A24" s="2">
        <v>43878</v>
      </c>
      <c r="B24">
        <v>0</v>
      </c>
      <c r="C24">
        <v>4</v>
      </c>
      <c r="D24">
        <v>0</v>
      </c>
      <c r="E24">
        <v>5</v>
      </c>
      <c r="F24">
        <v>2</v>
      </c>
      <c r="G24">
        <v>0</v>
      </c>
      <c r="H24">
        <v>4</v>
      </c>
      <c r="I24">
        <v>0</v>
      </c>
      <c r="J24">
        <v>15</v>
      </c>
    </row>
    <row r="25" spans="1:10" hidden="1" x14ac:dyDescent="0.3">
      <c r="A25" s="2">
        <v>43879</v>
      </c>
      <c r="B25">
        <v>0</v>
      </c>
      <c r="C25">
        <v>4</v>
      </c>
      <c r="D25">
        <v>0</v>
      </c>
      <c r="E25">
        <v>5</v>
      </c>
      <c r="F25">
        <v>2</v>
      </c>
      <c r="G25">
        <v>0</v>
      </c>
      <c r="H25">
        <v>4</v>
      </c>
      <c r="I25">
        <v>0</v>
      </c>
      <c r="J25">
        <v>15</v>
      </c>
    </row>
    <row r="26" spans="1:10" hidden="1" x14ac:dyDescent="0.3">
      <c r="A26" s="2">
        <v>43880</v>
      </c>
      <c r="B26">
        <v>0</v>
      </c>
      <c r="C26">
        <v>4</v>
      </c>
      <c r="D26">
        <v>0</v>
      </c>
      <c r="E26">
        <v>5</v>
      </c>
      <c r="F26">
        <v>2</v>
      </c>
      <c r="G26">
        <v>0</v>
      </c>
      <c r="H26">
        <v>4</v>
      </c>
      <c r="I26">
        <v>0</v>
      </c>
      <c r="J26">
        <v>15</v>
      </c>
    </row>
    <row r="27" spans="1:10" hidden="1" x14ac:dyDescent="0.3">
      <c r="A27" s="2">
        <v>43881</v>
      </c>
      <c r="B27">
        <v>0</v>
      </c>
      <c r="C27">
        <v>4</v>
      </c>
      <c r="D27">
        <v>0</v>
      </c>
      <c r="E27">
        <v>5</v>
      </c>
      <c r="F27">
        <v>2</v>
      </c>
      <c r="G27">
        <v>0</v>
      </c>
      <c r="H27">
        <v>4</v>
      </c>
      <c r="I27">
        <v>0</v>
      </c>
      <c r="J27">
        <v>15</v>
      </c>
    </row>
    <row r="28" spans="1:10" hidden="1" x14ac:dyDescent="0.3">
      <c r="A28" s="2">
        <v>43882</v>
      </c>
      <c r="B28">
        <v>0</v>
      </c>
      <c r="C28">
        <v>4</v>
      </c>
      <c r="D28">
        <v>0</v>
      </c>
      <c r="E28">
        <v>5</v>
      </c>
      <c r="F28">
        <v>2</v>
      </c>
      <c r="G28">
        <v>0</v>
      </c>
      <c r="H28">
        <v>4</v>
      </c>
      <c r="I28">
        <v>0</v>
      </c>
      <c r="J28">
        <v>15</v>
      </c>
    </row>
    <row r="29" spans="1:10" hidden="1" x14ac:dyDescent="0.3">
      <c r="A29" s="2">
        <v>43883</v>
      </c>
      <c r="B29">
        <v>0</v>
      </c>
      <c r="C29">
        <v>4</v>
      </c>
      <c r="D29">
        <v>0</v>
      </c>
      <c r="E29">
        <v>5</v>
      </c>
      <c r="F29">
        <v>2</v>
      </c>
      <c r="G29">
        <v>0</v>
      </c>
      <c r="H29">
        <v>4</v>
      </c>
      <c r="I29">
        <v>0</v>
      </c>
      <c r="J29">
        <v>15</v>
      </c>
    </row>
    <row r="30" spans="1:10" hidden="1" x14ac:dyDescent="0.3">
      <c r="A30" s="2">
        <v>43884</v>
      </c>
      <c r="B30">
        <v>0</v>
      </c>
      <c r="C30">
        <v>4</v>
      </c>
      <c r="D30">
        <v>0</v>
      </c>
      <c r="E30">
        <v>5</v>
      </c>
      <c r="F30">
        <v>2</v>
      </c>
      <c r="G30">
        <v>0</v>
      </c>
      <c r="H30">
        <v>4</v>
      </c>
      <c r="I30">
        <v>0</v>
      </c>
      <c r="J30">
        <v>15</v>
      </c>
    </row>
    <row r="31" spans="1:10" hidden="1" x14ac:dyDescent="0.3">
      <c r="A31" s="2">
        <v>43885</v>
      </c>
      <c r="B31">
        <v>0</v>
      </c>
      <c r="C31">
        <v>4</v>
      </c>
      <c r="D31">
        <v>0</v>
      </c>
      <c r="E31">
        <v>5</v>
      </c>
      <c r="F31">
        <v>2</v>
      </c>
      <c r="G31">
        <v>0</v>
      </c>
      <c r="H31">
        <v>4</v>
      </c>
      <c r="I31">
        <v>0</v>
      </c>
      <c r="J31">
        <v>15</v>
      </c>
    </row>
    <row r="32" spans="1:10" hidden="1" x14ac:dyDescent="0.3">
      <c r="A32" s="2">
        <v>43886</v>
      </c>
      <c r="B32">
        <v>0</v>
      </c>
      <c r="C32">
        <v>4</v>
      </c>
      <c r="D32">
        <v>0</v>
      </c>
      <c r="E32">
        <v>5</v>
      </c>
      <c r="F32">
        <v>2</v>
      </c>
      <c r="G32">
        <v>0</v>
      </c>
      <c r="H32">
        <v>4</v>
      </c>
      <c r="I32">
        <v>0</v>
      </c>
      <c r="J32">
        <v>15</v>
      </c>
    </row>
    <row r="33" spans="1:10" hidden="1" x14ac:dyDescent="0.3">
      <c r="A33" s="2">
        <v>43887</v>
      </c>
      <c r="B33">
        <v>0</v>
      </c>
      <c r="C33">
        <v>4</v>
      </c>
      <c r="D33">
        <v>0</v>
      </c>
      <c r="E33">
        <v>5</v>
      </c>
      <c r="F33">
        <v>2</v>
      </c>
      <c r="G33">
        <v>0</v>
      </c>
      <c r="H33">
        <v>4</v>
      </c>
      <c r="I33">
        <v>0</v>
      </c>
      <c r="J33">
        <v>15</v>
      </c>
    </row>
    <row r="34" spans="1:10" hidden="1" x14ac:dyDescent="0.3">
      <c r="A34" s="2">
        <v>43888</v>
      </c>
      <c r="B34">
        <v>0</v>
      </c>
      <c r="C34">
        <v>4</v>
      </c>
      <c r="D34">
        <v>0</v>
      </c>
      <c r="E34">
        <v>5</v>
      </c>
      <c r="F34">
        <v>2</v>
      </c>
      <c r="G34">
        <v>0</v>
      </c>
      <c r="H34">
        <v>4</v>
      </c>
      <c r="I34">
        <v>0</v>
      </c>
      <c r="J34">
        <v>15</v>
      </c>
    </row>
    <row r="35" spans="1:10" hidden="1" x14ac:dyDescent="0.3">
      <c r="A35" s="2">
        <v>43889</v>
      </c>
      <c r="B35">
        <v>0</v>
      </c>
      <c r="C35">
        <v>4</v>
      </c>
      <c r="D35">
        <v>0</v>
      </c>
      <c r="E35">
        <v>5</v>
      </c>
      <c r="F35">
        <v>2</v>
      </c>
      <c r="G35">
        <v>0</v>
      </c>
      <c r="H35">
        <v>4</v>
      </c>
      <c r="I35">
        <v>0</v>
      </c>
      <c r="J35">
        <v>15</v>
      </c>
    </row>
    <row r="36" spans="1:10" hidden="1" x14ac:dyDescent="0.3">
      <c r="A36" s="2">
        <v>43890</v>
      </c>
      <c r="B36">
        <v>0</v>
      </c>
      <c r="C36">
        <v>4</v>
      </c>
      <c r="D36">
        <v>0</v>
      </c>
      <c r="E36">
        <v>9</v>
      </c>
      <c r="F36">
        <v>3</v>
      </c>
      <c r="G36">
        <v>0</v>
      </c>
      <c r="H36">
        <v>7</v>
      </c>
      <c r="I36">
        <v>2</v>
      </c>
      <c r="J36">
        <v>25</v>
      </c>
    </row>
    <row r="37" spans="1:10" hidden="1" x14ac:dyDescent="0.3">
      <c r="A37" s="2">
        <v>43891</v>
      </c>
      <c r="B37">
        <v>0</v>
      </c>
      <c r="C37">
        <v>6</v>
      </c>
      <c r="D37">
        <v>0</v>
      </c>
      <c r="E37">
        <v>9</v>
      </c>
      <c r="F37">
        <v>3</v>
      </c>
      <c r="G37">
        <v>0</v>
      </c>
      <c r="H37">
        <v>7</v>
      </c>
      <c r="I37">
        <v>2</v>
      </c>
      <c r="J37">
        <v>27</v>
      </c>
    </row>
    <row r="38" spans="1:10" hidden="1" x14ac:dyDescent="0.3">
      <c r="A38" s="2">
        <v>43892</v>
      </c>
      <c r="B38">
        <v>0</v>
      </c>
      <c r="C38">
        <v>6</v>
      </c>
      <c r="D38">
        <v>0</v>
      </c>
      <c r="E38">
        <v>9</v>
      </c>
      <c r="F38">
        <v>3</v>
      </c>
      <c r="G38">
        <v>1</v>
      </c>
      <c r="H38">
        <v>9</v>
      </c>
      <c r="I38">
        <v>2</v>
      </c>
      <c r="J38">
        <v>30</v>
      </c>
    </row>
    <row r="39" spans="1:10" hidden="1" x14ac:dyDescent="0.3">
      <c r="A39" s="2">
        <v>43893</v>
      </c>
      <c r="B39">
        <v>0</v>
      </c>
      <c r="C39">
        <v>13</v>
      </c>
      <c r="D39">
        <v>0</v>
      </c>
      <c r="E39">
        <v>11</v>
      </c>
      <c r="F39">
        <v>3</v>
      </c>
      <c r="G39">
        <v>1</v>
      </c>
      <c r="H39">
        <v>9</v>
      </c>
      <c r="I39">
        <v>2</v>
      </c>
      <c r="J39">
        <v>39</v>
      </c>
    </row>
    <row r="40" spans="1:10" hidden="1" x14ac:dyDescent="0.3">
      <c r="A40" s="2">
        <v>43894</v>
      </c>
      <c r="B40">
        <v>0</v>
      </c>
      <c r="C40">
        <v>22</v>
      </c>
      <c r="D40">
        <v>1</v>
      </c>
      <c r="E40">
        <v>11</v>
      </c>
      <c r="F40">
        <v>5</v>
      </c>
      <c r="G40">
        <v>1</v>
      </c>
      <c r="H40">
        <v>10</v>
      </c>
      <c r="I40">
        <v>2</v>
      </c>
      <c r="J40">
        <v>52</v>
      </c>
    </row>
    <row r="41" spans="1:10" hidden="1" x14ac:dyDescent="0.3">
      <c r="A41" s="2">
        <v>43895</v>
      </c>
      <c r="B41">
        <v>0</v>
      </c>
      <c r="C41">
        <v>22</v>
      </c>
      <c r="D41">
        <v>1</v>
      </c>
      <c r="E41">
        <v>13</v>
      </c>
      <c r="F41">
        <v>5</v>
      </c>
      <c r="G41">
        <v>1</v>
      </c>
      <c r="H41">
        <v>10</v>
      </c>
      <c r="I41">
        <v>3</v>
      </c>
      <c r="J41">
        <v>55</v>
      </c>
    </row>
    <row r="42" spans="1:10" hidden="1" x14ac:dyDescent="0.3">
      <c r="A42" s="2">
        <v>43896</v>
      </c>
      <c r="B42">
        <v>0</v>
      </c>
      <c r="C42">
        <v>26</v>
      </c>
      <c r="D42">
        <v>0</v>
      </c>
      <c r="E42">
        <v>13</v>
      </c>
      <c r="F42">
        <v>7</v>
      </c>
      <c r="G42">
        <v>1</v>
      </c>
      <c r="H42">
        <v>10</v>
      </c>
      <c r="I42">
        <v>3</v>
      </c>
      <c r="J42">
        <v>60</v>
      </c>
    </row>
    <row r="43" spans="1:10" x14ac:dyDescent="0.3">
      <c r="A43" s="2">
        <v>43897</v>
      </c>
      <c r="B43">
        <v>0</v>
      </c>
      <c r="C43">
        <v>28</v>
      </c>
      <c r="D43">
        <v>0</v>
      </c>
      <c r="E43">
        <v>13</v>
      </c>
      <c r="F43">
        <v>7</v>
      </c>
      <c r="G43">
        <v>1</v>
      </c>
      <c r="H43">
        <v>11</v>
      </c>
      <c r="I43">
        <v>3</v>
      </c>
      <c r="J43">
        <v>63</v>
      </c>
    </row>
    <row r="44" spans="1:10" x14ac:dyDescent="0.3">
      <c r="A44" s="2">
        <v>43898</v>
      </c>
      <c r="B44">
        <v>0</v>
      </c>
      <c r="C44">
        <v>38</v>
      </c>
      <c r="D44">
        <v>0</v>
      </c>
      <c r="E44">
        <v>15</v>
      </c>
      <c r="F44">
        <v>7</v>
      </c>
      <c r="G44">
        <v>2</v>
      </c>
      <c r="H44">
        <v>11</v>
      </c>
      <c r="I44">
        <v>3</v>
      </c>
      <c r="J44">
        <v>76</v>
      </c>
    </row>
    <row r="45" spans="1:10" x14ac:dyDescent="0.3">
      <c r="A45" s="2">
        <v>43899</v>
      </c>
      <c r="B45">
        <v>0</v>
      </c>
      <c r="C45">
        <v>48</v>
      </c>
      <c r="D45">
        <v>0</v>
      </c>
      <c r="E45">
        <v>15</v>
      </c>
      <c r="F45">
        <v>7</v>
      </c>
      <c r="G45">
        <v>2</v>
      </c>
      <c r="H45">
        <v>15</v>
      </c>
      <c r="I45">
        <v>4</v>
      </c>
      <c r="J45">
        <v>91</v>
      </c>
    </row>
    <row r="46" spans="1:10" x14ac:dyDescent="0.3">
      <c r="A46" s="2">
        <v>43900</v>
      </c>
      <c r="B46">
        <v>0</v>
      </c>
      <c r="C46">
        <v>55</v>
      </c>
      <c r="D46">
        <v>1</v>
      </c>
      <c r="E46">
        <v>18</v>
      </c>
      <c r="F46">
        <v>7</v>
      </c>
      <c r="G46">
        <v>2</v>
      </c>
      <c r="H46">
        <v>18</v>
      </c>
      <c r="I46">
        <v>6</v>
      </c>
      <c r="J46">
        <v>107</v>
      </c>
    </row>
    <row r="47" spans="1:10" x14ac:dyDescent="0.3">
      <c r="A47" s="2">
        <v>43901</v>
      </c>
      <c r="B47">
        <v>0</v>
      </c>
      <c r="C47">
        <v>65</v>
      </c>
      <c r="D47">
        <v>1</v>
      </c>
      <c r="E47">
        <v>20</v>
      </c>
      <c r="F47">
        <v>9</v>
      </c>
      <c r="G47">
        <v>3</v>
      </c>
      <c r="H47">
        <v>21</v>
      </c>
      <c r="I47">
        <v>9</v>
      </c>
      <c r="J47">
        <v>128</v>
      </c>
    </row>
    <row r="48" spans="1:10" x14ac:dyDescent="0.3">
      <c r="A48" s="2">
        <v>43902</v>
      </c>
      <c r="B48">
        <v>0</v>
      </c>
      <c r="C48">
        <v>65</v>
      </c>
      <c r="D48">
        <v>1</v>
      </c>
      <c r="E48">
        <v>20</v>
      </c>
      <c r="F48">
        <v>9</v>
      </c>
      <c r="G48">
        <v>3</v>
      </c>
      <c r="H48">
        <v>21</v>
      </c>
      <c r="I48">
        <v>9</v>
      </c>
      <c r="J48">
        <v>128</v>
      </c>
    </row>
    <row r="49" spans="1:17" x14ac:dyDescent="0.3">
      <c r="A49" s="2">
        <v>43903</v>
      </c>
      <c r="B49">
        <v>1</v>
      </c>
      <c r="C49">
        <v>92</v>
      </c>
      <c r="D49">
        <v>1</v>
      </c>
      <c r="E49">
        <v>35</v>
      </c>
      <c r="F49">
        <v>16</v>
      </c>
      <c r="G49">
        <v>5</v>
      </c>
      <c r="H49">
        <v>36</v>
      </c>
      <c r="I49">
        <v>14</v>
      </c>
      <c r="J49">
        <v>200</v>
      </c>
    </row>
    <row r="50" spans="1:17" x14ac:dyDescent="0.3">
      <c r="A50" s="2">
        <v>43904</v>
      </c>
      <c r="B50">
        <v>1</v>
      </c>
      <c r="C50">
        <v>112</v>
      </c>
      <c r="D50">
        <v>1</v>
      </c>
      <c r="E50">
        <v>46</v>
      </c>
      <c r="F50">
        <v>19</v>
      </c>
      <c r="G50">
        <v>5</v>
      </c>
      <c r="H50">
        <v>49</v>
      </c>
      <c r="I50">
        <v>17</v>
      </c>
      <c r="J50">
        <v>250</v>
      </c>
    </row>
    <row r="51" spans="1:17" x14ac:dyDescent="0.3">
      <c r="A51" s="2">
        <v>43905</v>
      </c>
      <c r="B51">
        <v>1</v>
      </c>
      <c r="C51">
        <v>134</v>
      </c>
      <c r="D51">
        <v>1</v>
      </c>
      <c r="E51">
        <v>61</v>
      </c>
      <c r="F51">
        <v>20</v>
      </c>
      <c r="G51">
        <v>6</v>
      </c>
      <c r="H51">
        <v>57</v>
      </c>
      <c r="I51">
        <v>17</v>
      </c>
      <c r="J51">
        <v>297</v>
      </c>
    </row>
    <row r="52" spans="1:17" x14ac:dyDescent="0.3">
      <c r="A52" s="2">
        <v>43906</v>
      </c>
      <c r="B52">
        <v>2</v>
      </c>
      <c r="C52">
        <v>171</v>
      </c>
      <c r="D52">
        <v>1</v>
      </c>
      <c r="E52">
        <v>68</v>
      </c>
      <c r="F52">
        <v>29</v>
      </c>
      <c r="G52">
        <v>7</v>
      </c>
      <c r="H52">
        <v>71</v>
      </c>
      <c r="I52">
        <v>28</v>
      </c>
      <c r="J52">
        <v>377</v>
      </c>
    </row>
    <row r="53" spans="1:17" x14ac:dyDescent="0.3">
      <c r="A53" s="2">
        <v>43907</v>
      </c>
      <c r="B53">
        <v>2</v>
      </c>
      <c r="C53">
        <v>210</v>
      </c>
      <c r="D53">
        <v>1</v>
      </c>
      <c r="E53">
        <v>78</v>
      </c>
      <c r="F53">
        <v>29</v>
      </c>
      <c r="G53">
        <v>7</v>
      </c>
      <c r="H53">
        <v>94</v>
      </c>
      <c r="I53">
        <v>31</v>
      </c>
      <c r="J53">
        <v>452</v>
      </c>
    </row>
    <row r="54" spans="1:17" x14ac:dyDescent="0.3">
      <c r="A54" s="2">
        <v>43908</v>
      </c>
      <c r="B54">
        <v>3</v>
      </c>
      <c r="C54">
        <v>267</v>
      </c>
      <c r="D54">
        <v>1</v>
      </c>
      <c r="E54">
        <v>94</v>
      </c>
      <c r="F54">
        <v>37</v>
      </c>
      <c r="G54">
        <v>10</v>
      </c>
      <c r="H54">
        <v>121</v>
      </c>
      <c r="I54">
        <v>35</v>
      </c>
      <c r="J54">
        <v>568</v>
      </c>
    </row>
    <row r="55" spans="1:17" x14ac:dyDescent="0.3">
      <c r="A55" s="2">
        <v>43909</v>
      </c>
      <c r="B55">
        <v>4</v>
      </c>
      <c r="C55">
        <v>307</v>
      </c>
      <c r="D55">
        <v>1</v>
      </c>
      <c r="E55">
        <v>144</v>
      </c>
      <c r="F55">
        <v>42</v>
      </c>
      <c r="G55">
        <v>10</v>
      </c>
      <c r="H55">
        <v>121</v>
      </c>
      <c r="I55">
        <v>52</v>
      </c>
      <c r="J55">
        <v>681</v>
      </c>
    </row>
    <row r="56" spans="1:17" x14ac:dyDescent="0.3">
      <c r="A56" s="2">
        <v>43910</v>
      </c>
      <c r="B56">
        <v>6</v>
      </c>
      <c r="C56">
        <v>353</v>
      </c>
      <c r="D56">
        <v>3</v>
      </c>
      <c r="E56">
        <v>184</v>
      </c>
      <c r="F56">
        <v>50</v>
      </c>
      <c r="G56">
        <v>10</v>
      </c>
      <c r="H56">
        <v>121</v>
      </c>
      <c r="I56">
        <v>64</v>
      </c>
      <c r="J56">
        <v>791</v>
      </c>
      <c r="Q56" s="2"/>
    </row>
    <row r="57" spans="1:17" x14ac:dyDescent="0.3">
      <c r="A57" s="2">
        <v>43911</v>
      </c>
      <c r="B57">
        <v>9</v>
      </c>
      <c r="C57">
        <v>436</v>
      </c>
      <c r="D57">
        <v>3</v>
      </c>
      <c r="E57">
        <v>221</v>
      </c>
      <c r="F57">
        <v>67</v>
      </c>
      <c r="G57">
        <v>16</v>
      </c>
      <c r="H57">
        <v>229</v>
      </c>
      <c r="I57">
        <v>90</v>
      </c>
      <c r="J57">
        <v>1071</v>
      </c>
      <c r="Q57" s="2"/>
    </row>
    <row r="58" spans="1:17" x14ac:dyDescent="0.3">
      <c r="A58" s="2">
        <v>43912</v>
      </c>
      <c r="B58">
        <v>19</v>
      </c>
      <c r="C58">
        <v>669</v>
      </c>
      <c r="D58">
        <v>5</v>
      </c>
      <c r="E58">
        <v>259</v>
      </c>
      <c r="F58">
        <v>100</v>
      </c>
      <c r="G58">
        <v>22</v>
      </c>
      <c r="H58">
        <v>355</v>
      </c>
      <c r="I58">
        <v>120</v>
      </c>
      <c r="J58">
        <v>1549</v>
      </c>
      <c r="Q58" s="2"/>
    </row>
    <row r="59" spans="1:17" x14ac:dyDescent="0.3">
      <c r="A59" s="2">
        <v>43913</v>
      </c>
      <c r="B59">
        <v>32</v>
      </c>
      <c r="C59">
        <v>669</v>
      </c>
      <c r="D59">
        <v>5</v>
      </c>
      <c r="E59">
        <v>319</v>
      </c>
      <c r="F59">
        <v>134</v>
      </c>
      <c r="G59">
        <v>28</v>
      </c>
      <c r="H59">
        <v>355</v>
      </c>
      <c r="I59">
        <v>140</v>
      </c>
      <c r="J59">
        <v>1682</v>
      </c>
      <c r="Q59" s="2"/>
    </row>
    <row r="60" spans="1:17" x14ac:dyDescent="0.3">
      <c r="A60" s="2">
        <v>43914</v>
      </c>
      <c r="B60">
        <v>39</v>
      </c>
      <c r="C60">
        <v>818</v>
      </c>
      <c r="D60">
        <v>6</v>
      </c>
      <c r="E60">
        <v>397</v>
      </c>
      <c r="F60">
        <v>170</v>
      </c>
      <c r="G60">
        <v>28</v>
      </c>
      <c r="H60">
        <v>411</v>
      </c>
      <c r="I60">
        <v>175</v>
      </c>
      <c r="J60">
        <v>2044</v>
      </c>
      <c r="Q60" s="2"/>
    </row>
    <row r="61" spans="1:17" x14ac:dyDescent="0.3">
      <c r="A61" s="2">
        <v>43915</v>
      </c>
      <c r="Q61" s="2"/>
    </row>
    <row r="62" spans="1:17" x14ac:dyDescent="0.3">
      <c r="A62" s="2">
        <v>43916</v>
      </c>
      <c r="Q62" s="2"/>
    </row>
    <row r="63" spans="1:17" x14ac:dyDescent="0.3">
      <c r="A63" s="2">
        <v>43917</v>
      </c>
      <c r="Q63" s="2"/>
    </row>
    <row r="64" spans="1:17" x14ac:dyDescent="0.3">
      <c r="A64" s="2">
        <v>43918</v>
      </c>
      <c r="Q64" s="2"/>
    </row>
    <row r="65" spans="1:17" x14ac:dyDescent="0.3">
      <c r="A65" s="2">
        <v>43919</v>
      </c>
      <c r="Q65" s="2"/>
    </row>
    <row r="66" spans="1:17" x14ac:dyDescent="0.3">
      <c r="A66" s="2">
        <v>43920</v>
      </c>
      <c r="Q66" s="2"/>
    </row>
    <row r="67" spans="1:17" x14ac:dyDescent="0.3">
      <c r="A67" s="2">
        <v>43921</v>
      </c>
      <c r="Q67" s="2"/>
    </row>
    <row r="68" spans="1:17" x14ac:dyDescent="0.3">
      <c r="Q68" s="2"/>
    </row>
    <row r="69" spans="1:17" x14ac:dyDescent="0.3">
      <c r="Q69" s="2"/>
    </row>
    <row r="70" spans="1:17" x14ac:dyDescent="0.3">
      <c r="Q70" s="2"/>
    </row>
    <row r="71" spans="1:17" x14ac:dyDescent="0.3">
      <c r="Q71" s="2"/>
    </row>
    <row r="72" spans="1:17" x14ac:dyDescent="0.3">
      <c r="Q72" s="2"/>
    </row>
    <row r="73" spans="1:17" x14ac:dyDescent="0.3">
      <c r="Q73" s="2"/>
    </row>
    <row r="74" spans="1:17" x14ac:dyDescent="0.3">
      <c r="Q74" s="2"/>
    </row>
    <row r="75" spans="1:17" x14ac:dyDescent="0.3">
      <c r="L75" s="2">
        <v>43908</v>
      </c>
      <c r="Q75" s="2"/>
    </row>
    <row r="76" spans="1:17" x14ac:dyDescent="0.3">
      <c r="L76" s="2">
        <v>43909</v>
      </c>
      <c r="Q76" s="2"/>
    </row>
    <row r="77" spans="1:17" x14ac:dyDescent="0.3">
      <c r="L77" s="2">
        <v>43910</v>
      </c>
      <c r="Q77" s="2"/>
    </row>
    <row r="78" spans="1:17" x14ac:dyDescent="0.3">
      <c r="L78" s="2">
        <v>43911</v>
      </c>
      <c r="Q78" s="2"/>
    </row>
    <row r="79" spans="1:17" x14ac:dyDescent="0.3">
      <c r="L79" s="2">
        <v>43912</v>
      </c>
      <c r="Q79" s="2"/>
    </row>
    <row r="80" spans="1:17" x14ac:dyDescent="0.3">
      <c r="L80" s="2">
        <v>43913</v>
      </c>
      <c r="Q80" s="2"/>
    </row>
    <row r="81" spans="12:17" x14ac:dyDescent="0.3">
      <c r="L81" s="2">
        <v>43914</v>
      </c>
      <c r="Q81" s="2"/>
    </row>
    <row r="82" spans="12:17" x14ac:dyDescent="0.3">
      <c r="L82" s="2">
        <v>43915</v>
      </c>
      <c r="Q82" s="2"/>
    </row>
    <row r="83" spans="12:17" x14ac:dyDescent="0.3">
      <c r="L83" s="2">
        <v>43916</v>
      </c>
      <c r="Q83" s="2"/>
    </row>
    <row r="84" spans="12:17" x14ac:dyDescent="0.3">
      <c r="L84" s="2">
        <v>43917</v>
      </c>
      <c r="Q84" s="2"/>
    </row>
    <row r="85" spans="12:17" x14ac:dyDescent="0.3">
      <c r="L85" s="2">
        <v>43918</v>
      </c>
      <c r="Q85" s="2"/>
    </row>
    <row r="86" spans="12:17" x14ac:dyDescent="0.3">
      <c r="L86" s="2">
        <v>43919</v>
      </c>
      <c r="Q86" s="2"/>
    </row>
    <row r="87" spans="12:17" x14ac:dyDescent="0.3">
      <c r="L87" s="2">
        <v>43920</v>
      </c>
      <c r="Q87" s="2"/>
    </row>
    <row r="88" spans="12:17" x14ac:dyDescent="0.3">
      <c r="L88" s="2">
        <v>43921</v>
      </c>
      <c r="Q88" s="2"/>
    </row>
    <row r="89" spans="12:17" x14ac:dyDescent="0.3">
      <c r="L89" s="2">
        <v>43922</v>
      </c>
      <c r="Q89" s="2"/>
    </row>
    <row r="90" spans="12:17" x14ac:dyDescent="0.3">
      <c r="L90" s="2">
        <v>43923</v>
      </c>
      <c r="Q90" s="2"/>
    </row>
    <row r="91" spans="12:17" x14ac:dyDescent="0.3">
      <c r="L91" s="2">
        <v>43924</v>
      </c>
      <c r="Q91" s="2"/>
    </row>
    <row r="92" spans="12:17" x14ac:dyDescent="0.3">
      <c r="L92" s="2">
        <v>43925</v>
      </c>
      <c r="Q92" s="2"/>
    </row>
    <row r="93" spans="12:17" x14ac:dyDescent="0.3">
      <c r="L93" s="2">
        <v>43926</v>
      </c>
      <c r="Q93" s="2"/>
    </row>
    <row r="94" spans="12:17" x14ac:dyDescent="0.3">
      <c r="L94" s="2">
        <v>43927</v>
      </c>
      <c r="Q94" s="2"/>
    </row>
    <row r="95" spans="12:17" x14ac:dyDescent="0.3">
      <c r="L95" s="2">
        <v>43928</v>
      </c>
      <c r="Q95" s="2"/>
    </row>
    <row r="96" spans="12:17" x14ac:dyDescent="0.3">
      <c r="L96" s="2">
        <v>43929</v>
      </c>
      <c r="Q96" s="2"/>
    </row>
    <row r="97" spans="12:17" x14ac:dyDescent="0.3">
      <c r="L97" s="2">
        <v>43930</v>
      </c>
      <c r="Q97" s="2"/>
    </row>
    <row r="98" spans="12:17" x14ac:dyDescent="0.3">
      <c r="L98" s="2">
        <v>43931</v>
      </c>
      <c r="Q98" s="2"/>
    </row>
    <row r="99" spans="12:17" x14ac:dyDescent="0.3">
      <c r="L99" s="2">
        <v>43932</v>
      </c>
      <c r="Q99" s="2"/>
    </row>
    <row r="100" spans="12:17" x14ac:dyDescent="0.3">
      <c r="L100" s="2">
        <v>43933</v>
      </c>
      <c r="Q100" s="2"/>
    </row>
    <row r="101" spans="12:17" x14ac:dyDescent="0.3">
      <c r="L101" s="2">
        <v>43934</v>
      </c>
      <c r="Q101" s="2"/>
    </row>
    <row r="102" spans="12:17" x14ac:dyDescent="0.3">
      <c r="L102" s="2">
        <v>43935</v>
      </c>
      <c r="Q102" s="2"/>
    </row>
    <row r="103" spans="12:17" x14ac:dyDescent="0.3">
      <c r="L103" s="2">
        <v>43936</v>
      </c>
      <c r="Q103" s="2"/>
    </row>
    <row r="104" spans="12:17" x14ac:dyDescent="0.3">
      <c r="L104" s="2">
        <v>43937</v>
      </c>
      <c r="Q104" s="2"/>
    </row>
    <row r="105" spans="12:17" x14ac:dyDescent="0.3">
      <c r="L105" s="2">
        <v>43938</v>
      </c>
      <c r="Q105" s="2"/>
    </row>
    <row r="106" spans="12:17" x14ac:dyDescent="0.3">
      <c r="L106" s="2">
        <v>43939</v>
      </c>
      <c r="Q106" s="2"/>
    </row>
    <row r="107" spans="12:17" x14ac:dyDescent="0.3">
      <c r="L107" s="2">
        <v>43940</v>
      </c>
      <c r="Q107" s="2"/>
    </row>
    <row r="108" spans="12:17" x14ac:dyDescent="0.3">
      <c r="L108" s="2">
        <v>43941</v>
      </c>
      <c r="Q108" s="2"/>
    </row>
    <row r="109" spans="12:17" x14ac:dyDescent="0.3">
      <c r="L109" s="2">
        <v>43942</v>
      </c>
    </row>
    <row r="110" spans="12:17" x14ac:dyDescent="0.3">
      <c r="L110" s="2">
        <v>43943</v>
      </c>
    </row>
    <row r="111" spans="12:17" x14ac:dyDescent="0.3">
      <c r="L111" s="2">
        <v>43944</v>
      </c>
    </row>
    <row r="112" spans="12:17" x14ac:dyDescent="0.3">
      <c r="L112" s="2">
        <v>43945</v>
      </c>
    </row>
    <row r="113" spans="12:12" x14ac:dyDescent="0.3">
      <c r="L113" s="2">
        <v>43946</v>
      </c>
    </row>
    <row r="114" spans="12:12" x14ac:dyDescent="0.3">
      <c r="L114" s="2">
        <v>43947</v>
      </c>
    </row>
    <row r="115" spans="12:12" x14ac:dyDescent="0.3">
      <c r="L115" s="2">
        <v>43948</v>
      </c>
    </row>
    <row r="116" spans="12:12" x14ac:dyDescent="0.3">
      <c r="L116" s="2">
        <v>43949</v>
      </c>
    </row>
    <row r="117" spans="12:12" x14ac:dyDescent="0.3">
      <c r="L117" s="2">
        <v>43950</v>
      </c>
    </row>
    <row r="118" spans="12:12" x14ac:dyDescent="0.3">
      <c r="L118" s="2">
        <v>43951</v>
      </c>
    </row>
    <row r="119" spans="12:12" x14ac:dyDescent="0.3">
      <c r="L119" s="2">
        <v>43952</v>
      </c>
    </row>
    <row r="120" spans="12:12" x14ac:dyDescent="0.3">
      <c r="L120" s="2">
        <v>43953</v>
      </c>
    </row>
    <row r="121" spans="12:12" x14ac:dyDescent="0.3">
      <c r="L121" s="2">
        <v>43954</v>
      </c>
    </row>
    <row r="122" spans="12:12" x14ac:dyDescent="0.3">
      <c r="L122" s="2">
        <v>43955</v>
      </c>
    </row>
    <row r="123" spans="12:12" x14ac:dyDescent="0.3">
      <c r="L123" s="2">
        <v>43956</v>
      </c>
    </row>
    <row r="124" spans="12:12" x14ac:dyDescent="0.3">
      <c r="L124" s="2">
        <v>43957</v>
      </c>
    </row>
    <row r="125" spans="12:12" x14ac:dyDescent="0.3">
      <c r="L125" s="2">
        <v>43958</v>
      </c>
    </row>
    <row r="126" spans="12:12" x14ac:dyDescent="0.3">
      <c r="L126" s="2">
        <v>43959</v>
      </c>
    </row>
    <row r="127" spans="12:12" x14ac:dyDescent="0.3">
      <c r="L127" s="2">
        <v>43960</v>
      </c>
    </row>
    <row r="128" spans="12:12" x14ac:dyDescent="0.3">
      <c r="L128" s="2">
        <v>43961</v>
      </c>
    </row>
    <row r="129" spans="12:12" x14ac:dyDescent="0.3">
      <c r="L129" s="2">
        <v>43962</v>
      </c>
    </row>
    <row r="130" spans="12:12" x14ac:dyDescent="0.3">
      <c r="L130" s="2">
        <v>43963</v>
      </c>
    </row>
    <row r="131" spans="12:12" x14ac:dyDescent="0.3">
      <c r="L131" s="2">
        <v>43964</v>
      </c>
    </row>
    <row r="132" spans="12:12" x14ac:dyDescent="0.3">
      <c r="L132" s="2">
        <v>43965</v>
      </c>
    </row>
    <row r="133" spans="12:12" x14ac:dyDescent="0.3">
      <c r="L133" s="2">
        <v>43966</v>
      </c>
    </row>
    <row r="134" spans="12:12" x14ac:dyDescent="0.3">
      <c r="L134" s="2">
        <v>43967</v>
      </c>
    </row>
    <row r="135" spans="12:12" x14ac:dyDescent="0.3">
      <c r="L135" s="2">
        <v>43968</v>
      </c>
    </row>
    <row r="136" spans="12:12" x14ac:dyDescent="0.3">
      <c r="L136" s="2">
        <v>43969</v>
      </c>
    </row>
    <row r="137" spans="12:12" x14ac:dyDescent="0.3">
      <c r="L137" s="2">
        <v>43970</v>
      </c>
    </row>
    <row r="138" spans="12:12" x14ac:dyDescent="0.3">
      <c r="L138" s="2">
        <v>43971</v>
      </c>
    </row>
    <row r="139" spans="12:12" x14ac:dyDescent="0.3">
      <c r="L139" s="2">
        <v>43972</v>
      </c>
    </row>
    <row r="140" spans="12:12" x14ac:dyDescent="0.3">
      <c r="L140" s="2">
        <v>43973</v>
      </c>
    </row>
    <row r="141" spans="12:12" x14ac:dyDescent="0.3">
      <c r="L141" s="2">
        <v>43974</v>
      </c>
    </row>
    <row r="142" spans="12:12" x14ac:dyDescent="0.3">
      <c r="L142" s="2">
        <v>43975</v>
      </c>
    </row>
    <row r="143" spans="12:12" x14ac:dyDescent="0.3">
      <c r="L143" s="2">
        <v>43976</v>
      </c>
    </row>
    <row r="144" spans="12:12" x14ac:dyDescent="0.3">
      <c r="L144" s="2">
        <v>43977</v>
      </c>
    </row>
    <row r="145" spans="12:12" x14ac:dyDescent="0.3">
      <c r="L145" s="2">
        <v>43978</v>
      </c>
    </row>
    <row r="146" spans="12:12" x14ac:dyDescent="0.3">
      <c r="L146" s="2">
        <v>43979</v>
      </c>
    </row>
    <row r="147" spans="12:12" x14ac:dyDescent="0.3">
      <c r="L147" s="2">
        <v>43980</v>
      </c>
    </row>
    <row r="148" spans="12:12" x14ac:dyDescent="0.3">
      <c r="L148" s="2">
        <v>43981</v>
      </c>
    </row>
    <row r="149" spans="12:12" x14ac:dyDescent="0.3">
      <c r="L149" s="2">
        <v>43982</v>
      </c>
    </row>
    <row r="150" spans="12:12" x14ac:dyDescent="0.3">
      <c r="L150" s="2">
        <v>43983</v>
      </c>
    </row>
    <row r="151" spans="12:12" x14ac:dyDescent="0.3">
      <c r="L151" s="2">
        <v>43984</v>
      </c>
    </row>
    <row r="152" spans="12:12" x14ac:dyDescent="0.3">
      <c r="L152" s="2">
        <v>43985</v>
      </c>
    </row>
    <row r="153" spans="12:12" x14ac:dyDescent="0.3">
      <c r="L153" s="2">
        <v>43986</v>
      </c>
    </row>
    <row r="154" spans="12:12" x14ac:dyDescent="0.3">
      <c r="L154" s="2">
        <v>43987</v>
      </c>
    </row>
    <row r="155" spans="12:12" x14ac:dyDescent="0.3">
      <c r="L155" s="2">
        <v>43988</v>
      </c>
    </row>
    <row r="156" spans="12:12" x14ac:dyDescent="0.3">
      <c r="L156" s="2">
        <v>43989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56AFC-6AAB-4E6D-A7A6-468BD9DAD52F}">
  <sheetPr codeName="Sheet7"/>
  <dimension ref="A1:BL13"/>
  <sheetViews>
    <sheetView workbookViewId="0">
      <selection activeCell="T20" sqref="T20"/>
    </sheetView>
  </sheetViews>
  <sheetFormatPr defaultRowHeight="14.4" x14ac:dyDescent="0.3"/>
  <cols>
    <col min="1" max="1" width="16.77734375" bestFit="1" customWidth="1"/>
    <col min="2" max="50" width="12" bestFit="1" customWidth="1"/>
    <col min="51" max="51" width="11" bestFit="1" customWidth="1"/>
    <col min="52" max="54" width="12" bestFit="1" customWidth="1"/>
    <col min="55" max="56" width="11" bestFit="1" customWidth="1"/>
    <col min="57" max="58" width="12" bestFit="1" customWidth="1"/>
    <col min="59" max="60" width="12" customWidth="1"/>
    <col min="61" max="61" width="11" bestFit="1" customWidth="1"/>
    <col min="62" max="62" width="12" bestFit="1" customWidth="1"/>
    <col min="63" max="64" width="12" customWidth="1"/>
  </cols>
  <sheetData>
    <row r="1" spans="1:64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</row>
    <row r="2" spans="1:64" x14ac:dyDescent="0.3">
      <c r="A2" s="1" t="s">
        <v>42</v>
      </c>
      <c r="B2">
        <v>3.9215864668247113E-2</v>
      </c>
      <c r="C2">
        <v>3.9215864668247113E-2</v>
      </c>
      <c r="D2">
        <v>3.9215864668247113E-2</v>
      </c>
      <c r="E2">
        <v>7.8431729336494227E-2</v>
      </c>
      <c r="F2">
        <v>7.8431729336494227E-2</v>
      </c>
      <c r="G2">
        <v>7.8431729336494227E-2</v>
      </c>
      <c r="H2">
        <v>7.8431729336494227E-2</v>
      </c>
      <c r="I2">
        <v>0.11764759400474135</v>
      </c>
      <c r="J2">
        <v>0.11764759400474135</v>
      </c>
      <c r="K2">
        <v>0.11764759400474135</v>
      </c>
      <c r="L2">
        <v>0.11764759400474135</v>
      </c>
      <c r="M2">
        <v>0.11764759400474135</v>
      </c>
      <c r="N2">
        <v>0.11764759400474135</v>
      </c>
      <c r="O2">
        <v>0.11764759400474135</v>
      </c>
      <c r="P2">
        <v>0.11764759400474135</v>
      </c>
      <c r="Q2">
        <v>0.11764759400474135</v>
      </c>
      <c r="R2">
        <v>0.19607932334123557</v>
      </c>
      <c r="S2">
        <v>0.23529518800948271</v>
      </c>
      <c r="T2">
        <v>0.23529518800948271</v>
      </c>
      <c r="U2">
        <v>0.27451105267772979</v>
      </c>
      <c r="V2">
        <v>0.27451105267772979</v>
      </c>
      <c r="W2">
        <v>0.27451105267772979</v>
      </c>
      <c r="X2">
        <v>0.27451105267772979</v>
      </c>
      <c r="Y2">
        <v>0.31372691734597691</v>
      </c>
    </row>
    <row r="3" spans="1:64" x14ac:dyDescent="0.3">
      <c r="A3" s="1" t="s">
        <v>43</v>
      </c>
      <c r="B3">
        <v>2.6495573093152022E-2</v>
      </c>
      <c r="C3">
        <v>2.6495573093152022E-2</v>
      </c>
      <c r="D3">
        <v>2.6495573093152022E-2</v>
      </c>
      <c r="E3">
        <v>2.6495573093152022E-2</v>
      </c>
      <c r="F3">
        <v>2.6495573093152022E-2</v>
      </c>
      <c r="G3">
        <v>2.6495573093152022E-2</v>
      </c>
      <c r="H3">
        <v>2.6495573093152022E-2</v>
      </c>
      <c r="I3">
        <v>0.10598229237260809</v>
      </c>
      <c r="J3">
        <v>0.13247786546576013</v>
      </c>
      <c r="K3">
        <v>0.21196458474521618</v>
      </c>
      <c r="L3">
        <v>0.23846015783836821</v>
      </c>
      <c r="M3">
        <v>0.31794687711782427</v>
      </c>
      <c r="N3">
        <v>0.50341588876988841</v>
      </c>
      <c r="O3">
        <v>0.55640703495619248</v>
      </c>
      <c r="P3">
        <v>0.66238932732880063</v>
      </c>
      <c r="Q3">
        <v>0.68888490042195261</v>
      </c>
    </row>
    <row r="4" spans="1:64" x14ac:dyDescent="0.3">
      <c r="A4" s="1" t="s">
        <v>202</v>
      </c>
      <c r="B4">
        <v>1.1811102049077803E-2</v>
      </c>
      <c r="C4">
        <v>1.2505872757847085E-2</v>
      </c>
      <c r="D4">
        <v>1.8064038428001347E-2</v>
      </c>
      <c r="E4">
        <v>2.9180369768309865E-2</v>
      </c>
      <c r="F4">
        <v>3.8907159691079822E-2</v>
      </c>
      <c r="G4">
        <v>5.6971198119081169E-2</v>
      </c>
      <c r="H4">
        <v>9.1014962848776013E-2</v>
      </c>
      <c r="I4">
        <v>9.240450426631458E-2</v>
      </c>
      <c r="J4">
        <v>0.11880579119954732</v>
      </c>
      <c r="K4">
        <v>0.14798616096785719</v>
      </c>
      <c r="L4">
        <v>0.17994561357124417</v>
      </c>
      <c r="M4">
        <v>0.250812225865711</v>
      </c>
      <c r="N4">
        <v>0.29527755122694505</v>
      </c>
      <c r="O4">
        <v>0.3411324180057177</v>
      </c>
      <c r="P4">
        <v>0.39115590903710606</v>
      </c>
      <c r="Q4">
        <v>0.43978985865095582</v>
      </c>
      <c r="R4">
        <v>0.49884536889634484</v>
      </c>
      <c r="S4">
        <v>0.55929042055927247</v>
      </c>
      <c r="T4">
        <v>0.6287674914362007</v>
      </c>
      <c r="U4">
        <v>0.70310795727451392</v>
      </c>
      <c r="V4">
        <v>0.77258502815144214</v>
      </c>
      <c r="W4">
        <v>0.77605888169528858</v>
      </c>
      <c r="X4">
        <v>0.95114110030514776</v>
      </c>
      <c r="Y4">
        <v>1.0567462480380787</v>
      </c>
      <c r="Z4">
        <v>1.1554036886833168</v>
      </c>
      <c r="AA4">
        <v>1.226965071686553</v>
      </c>
      <c r="AB4">
        <v>1.2950526011459427</v>
      </c>
      <c r="AC4">
        <v>1.3916257296648729</v>
      </c>
      <c r="AD4">
        <v>1.4701348197558017</v>
      </c>
      <c r="AE4">
        <v>1.5548968462256543</v>
      </c>
      <c r="AF4">
        <v>1.5548968462256543</v>
      </c>
      <c r="AG4">
        <v>1.6973248415233573</v>
      </c>
      <c r="AH4">
        <v>1.6987143829408957</v>
      </c>
      <c r="AI4">
        <v>1.8029299892562882</v>
      </c>
      <c r="AJ4">
        <v>1.8515639388701379</v>
      </c>
      <c r="AK4">
        <v>1.8876920157261405</v>
      </c>
      <c r="AL4">
        <v>1.9078403662804497</v>
      </c>
      <c r="AM4">
        <v>1.9384102774662983</v>
      </c>
      <c r="AN4">
        <v>1.9710645007784544</v>
      </c>
      <c r="AO4">
        <v>1.9953814755853794</v>
      </c>
      <c r="AP4">
        <v>2.0245618453536891</v>
      </c>
      <c r="AQ4">
        <v>2.0474892787430754</v>
      </c>
      <c r="AR4">
        <v>2.0725010242587696</v>
      </c>
      <c r="AS4">
        <v>2.0947336869393869</v>
      </c>
      <c r="AT4">
        <v>2.1148820374936959</v>
      </c>
      <c r="AU4">
        <v>2.1343356173392358</v>
      </c>
      <c r="AV4">
        <v>2.1537891971847758</v>
      </c>
      <c r="AW4">
        <v>2.1697689234864694</v>
      </c>
      <c r="AX4">
        <v>2.1808852548267779</v>
      </c>
      <c r="AY4">
        <v>2.1961702104197021</v>
      </c>
      <c r="AZ4">
        <v>2.2038126882161642</v>
      </c>
      <c r="BA4">
        <v>2.2093708538863184</v>
      </c>
      <c r="BB4">
        <v>2.2184028731003189</v>
      </c>
      <c r="BC4">
        <v>2.225350580188012</v>
      </c>
      <c r="BD4">
        <v>2.235077370110782</v>
      </c>
      <c r="BE4">
        <v>2.2441093893247825</v>
      </c>
      <c r="BF4">
        <v>2.2517518671212446</v>
      </c>
      <c r="BG4">
        <v>2.2573100327913989</v>
      </c>
      <c r="BH4">
        <v>2.2600891156264762</v>
      </c>
      <c r="BI4">
        <v>2.264257739879092</v>
      </c>
      <c r="BJ4">
        <v>2.2746793005106309</v>
      </c>
      <c r="BK4">
        <v>2.2746793005106309</v>
      </c>
      <c r="BL4">
        <v>2.2795426954720162</v>
      </c>
    </row>
    <row r="5" spans="1:64" x14ac:dyDescent="0.3">
      <c r="A5" s="1" t="s">
        <v>79</v>
      </c>
      <c r="B5">
        <v>0.17264591255622647</v>
      </c>
      <c r="C5">
        <v>0.34529182511245293</v>
      </c>
      <c r="D5">
        <v>0.51793773766867945</v>
      </c>
      <c r="E5">
        <v>0.69058365022490587</v>
      </c>
      <c r="F5">
        <v>0.69058365022490587</v>
      </c>
      <c r="G5">
        <v>1.0358754753373589</v>
      </c>
      <c r="H5">
        <v>1.5538132130060383</v>
      </c>
      <c r="I5">
        <v>2.2443968632309441</v>
      </c>
      <c r="J5">
        <v>2.2443968632309441</v>
      </c>
      <c r="K5">
        <v>4.1435019013494356</v>
      </c>
      <c r="L5">
        <v>5.5246692017992469</v>
      </c>
    </row>
    <row r="6" spans="1:64" x14ac:dyDescent="0.3">
      <c r="A6" s="1" t="s">
        <v>36</v>
      </c>
      <c r="B6">
        <v>1.5320150313348397E-2</v>
      </c>
      <c r="C6">
        <v>1.5320150313348397E-2</v>
      </c>
      <c r="D6">
        <v>1.5320150313348397E-2</v>
      </c>
      <c r="E6">
        <v>1.5320150313348397E-2</v>
      </c>
      <c r="F6">
        <v>1.5320150313348397E-2</v>
      </c>
      <c r="G6">
        <v>1.5320150313348397E-2</v>
      </c>
      <c r="H6">
        <v>1.5320150313348397E-2</v>
      </c>
      <c r="I6">
        <v>1.5320150313348397E-2</v>
      </c>
      <c r="J6">
        <v>1.5320150313348397E-2</v>
      </c>
      <c r="K6">
        <v>1.5320150313348397E-2</v>
      </c>
      <c r="L6">
        <v>1.5320150313348397E-2</v>
      </c>
      <c r="M6">
        <v>3.0640300626696794E-2</v>
      </c>
      <c r="N6">
        <v>3.0640300626696794E-2</v>
      </c>
      <c r="O6">
        <v>3.0640300626696794E-2</v>
      </c>
      <c r="P6">
        <v>3.0640300626696794E-2</v>
      </c>
      <c r="Q6">
        <v>3.0640300626696794E-2</v>
      </c>
      <c r="R6">
        <v>4.5960450940045187E-2</v>
      </c>
      <c r="S6">
        <v>6.1280601253393588E-2</v>
      </c>
      <c r="T6">
        <v>6.1280601253393588E-2</v>
      </c>
      <c r="U6">
        <v>9.1920901880090375E-2</v>
      </c>
      <c r="V6">
        <v>0.13788135282013558</v>
      </c>
      <c r="W6">
        <v>0.16852165344683237</v>
      </c>
      <c r="X6">
        <v>0.29108285595361955</v>
      </c>
      <c r="Y6">
        <v>0.29108285595361955</v>
      </c>
      <c r="Z6">
        <v>0.50556496034049714</v>
      </c>
      <c r="AA6">
        <v>0.735367215040723</v>
      </c>
      <c r="AB6">
        <v>0.735367215040723</v>
      </c>
      <c r="AC6">
        <v>1.2102918747545233</v>
      </c>
      <c r="AD6">
        <v>1.394133678514704</v>
      </c>
      <c r="AE6">
        <v>1.394133678514704</v>
      </c>
      <c r="AF6">
        <v>2.2827023966889111</v>
      </c>
      <c r="AG6">
        <v>2.2827023966889111</v>
      </c>
      <c r="AH6">
        <v>2.2827023966889111</v>
      </c>
      <c r="AI6">
        <v>3.7381166764570088</v>
      </c>
      <c r="AJ6">
        <v>6.9093877913201265</v>
      </c>
      <c r="AK6">
        <v>8.6252446264151477</v>
      </c>
      <c r="AL6">
        <v>10.356421611823516</v>
      </c>
      <c r="AM6">
        <v>13.205969570106317</v>
      </c>
      <c r="AN6">
        <v>16.882805645309933</v>
      </c>
    </row>
    <row r="7" spans="1:64" x14ac:dyDescent="0.3">
      <c r="A7" s="1" t="s">
        <v>46</v>
      </c>
      <c r="B7">
        <v>2.3870922664393137E-2</v>
      </c>
      <c r="C7">
        <v>2.3870922664393137E-2</v>
      </c>
      <c r="D7">
        <v>3.5806383996589704E-2</v>
      </c>
      <c r="E7">
        <v>3.5806383996589704E-2</v>
      </c>
      <c r="F7">
        <v>8.3548229325375978E-2</v>
      </c>
      <c r="G7">
        <v>0.10741915198976912</v>
      </c>
      <c r="H7">
        <v>0.13129007465416226</v>
      </c>
      <c r="I7">
        <v>0.20290284264734168</v>
      </c>
      <c r="J7">
        <v>0.28645107197271763</v>
      </c>
      <c r="K7">
        <v>0.33419291730150391</v>
      </c>
      <c r="L7">
        <v>0.52516029861664903</v>
      </c>
      <c r="M7">
        <v>0.79967590925717014</v>
      </c>
      <c r="N7">
        <v>1.0025787519045117</v>
      </c>
      <c r="O7">
        <v>1.1219333652264774</v>
      </c>
      <c r="P7">
        <v>1.468061743860178</v>
      </c>
      <c r="Q7">
        <v>1.8738674291548614</v>
      </c>
    </row>
    <row r="8" spans="1:64" x14ac:dyDescent="0.3">
      <c r="A8" s="1" t="s">
        <v>203</v>
      </c>
      <c r="B8">
        <v>2.3811522560066321E-2</v>
      </c>
      <c r="C8">
        <v>2.3811522560066321E-2</v>
      </c>
      <c r="D8">
        <v>4.7623045120132643E-2</v>
      </c>
      <c r="E8">
        <v>5.9528806400165807E-2</v>
      </c>
      <c r="F8">
        <v>9.5246090240265285E-2</v>
      </c>
      <c r="G8">
        <v>0.14286913536039794</v>
      </c>
      <c r="H8">
        <v>0.19049218048053057</v>
      </c>
      <c r="I8">
        <v>0.22620946432063008</v>
      </c>
      <c r="J8">
        <v>0.30954979328086218</v>
      </c>
      <c r="K8">
        <v>0.4047958835211275</v>
      </c>
      <c r="L8">
        <v>0.51194773504142599</v>
      </c>
      <c r="M8">
        <v>0.64291110912179072</v>
      </c>
      <c r="N8">
        <v>0.78578024448218864</v>
      </c>
      <c r="O8">
        <v>0.91674361856255349</v>
      </c>
      <c r="P8">
        <v>1.0953300377630508</v>
      </c>
      <c r="Q8">
        <v>1.2739164569635484</v>
      </c>
      <c r="R8">
        <v>1.4763143987241121</v>
      </c>
      <c r="S8">
        <v>1.7263353856048085</v>
      </c>
      <c r="T8">
        <v>2.3097176883264332</v>
      </c>
      <c r="U8">
        <v>2.8216654233678593</v>
      </c>
      <c r="V8">
        <v>3.4645765324896498</v>
      </c>
      <c r="W8">
        <v>4.214639493131739</v>
      </c>
      <c r="X8">
        <v>5.1075715891342259</v>
      </c>
      <c r="Y8">
        <v>6.1195612979370448</v>
      </c>
      <c r="Z8">
        <v>7.2744201421002614</v>
      </c>
      <c r="AA8">
        <v>8.6197711667440089</v>
      </c>
      <c r="AB8">
        <v>10.155614371868287</v>
      </c>
      <c r="AC8">
        <v>11.762892144672763</v>
      </c>
      <c r="AD8">
        <v>13.513039052837637</v>
      </c>
      <c r="AE8">
        <v>15.28699748356258</v>
      </c>
      <c r="AF8">
        <v>17.060955914287522</v>
      </c>
      <c r="AG8">
        <v>18.525364551731599</v>
      </c>
      <c r="AH8">
        <v>20.061207756855875</v>
      </c>
      <c r="AI8">
        <v>21.573239439420089</v>
      </c>
      <c r="AJ8">
        <v>23.025742315584136</v>
      </c>
    </row>
    <row r="9" spans="1:64" x14ac:dyDescent="0.3">
      <c r="A9" s="1" t="s">
        <v>55</v>
      </c>
      <c r="B9">
        <v>1.653936154690399E-2</v>
      </c>
      <c r="C9">
        <v>3.307872309380798E-2</v>
      </c>
      <c r="D9">
        <v>4.9618084640711976E-2</v>
      </c>
      <c r="E9">
        <v>0.11577553082832794</v>
      </c>
      <c r="F9">
        <v>0.16539361546903991</v>
      </c>
      <c r="G9">
        <v>0.19847233856284791</v>
      </c>
      <c r="H9">
        <v>0.28116914629736783</v>
      </c>
      <c r="I9">
        <v>0.34732659248498382</v>
      </c>
      <c r="J9">
        <v>0.47964148486021574</v>
      </c>
      <c r="K9">
        <v>0.56233829259473567</v>
      </c>
      <c r="L9">
        <v>0.8600468004390075</v>
      </c>
      <c r="M9">
        <v>1.3066095622054152</v>
      </c>
      <c r="N9">
        <v>1.7697116855187272</v>
      </c>
      <c r="O9">
        <v>2.4478255089417909</v>
      </c>
      <c r="P9">
        <v>3.2582542247400865</v>
      </c>
      <c r="Q9">
        <v>3.8536712404286302</v>
      </c>
      <c r="R9">
        <v>6.0534063261668605</v>
      </c>
      <c r="S9">
        <v>7.6577243962165484</v>
      </c>
      <c r="T9">
        <v>10.436337136096419</v>
      </c>
      <c r="U9">
        <v>13.6780519992896</v>
      </c>
      <c r="V9">
        <v>13.6780519992896</v>
      </c>
      <c r="W9">
        <v>20.938831718380452</v>
      </c>
      <c r="X9">
        <v>23.833219989088651</v>
      </c>
      <c r="Y9">
        <v>29.919705038349321</v>
      </c>
      <c r="Z9">
        <v>35.691942218218813</v>
      </c>
      <c r="AA9">
        <v>41.398021951900688</v>
      </c>
      <c r="AB9">
        <v>49.254218686680083</v>
      </c>
      <c r="AC9">
        <v>56.316526067208088</v>
      </c>
      <c r="AD9">
        <v>66.686705757116897</v>
      </c>
      <c r="AE9">
        <v>79.802419463811759</v>
      </c>
      <c r="AF9">
        <v>90.569543830846257</v>
      </c>
      <c r="AG9">
        <v>100.50970012053556</v>
      </c>
      <c r="AH9">
        <v>112.79844574988522</v>
      </c>
    </row>
    <row r="10" spans="1:64" x14ac:dyDescent="0.3">
      <c r="A10" s="1" t="s">
        <v>2</v>
      </c>
      <c r="B10">
        <v>7.9066095943339208E-3</v>
      </c>
      <c r="C10">
        <v>7.9066095943339208E-3</v>
      </c>
      <c r="D10">
        <v>7.9066095943339208E-3</v>
      </c>
      <c r="E10">
        <v>7.9066095943339208E-3</v>
      </c>
      <c r="F10">
        <v>7.9066095943339208E-3</v>
      </c>
      <c r="G10">
        <v>7.9066095943339208E-3</v>
      </c>
      <c r="H10">
        <v>7.9066095943339208E-3</v>
      </c>
      <c r="I10">
        <v>7.9066095943339208E-3</v>
      </c>
      <c r="J10">
        <v>7.9066095943339208E-3</v>
      </c>
      <c r="K10">
        <v>7.9066095943339208E-3</v>
      </c>
      <c r="L10">
        <v>7.9066095943339208E-3</v>
      </c>
      <c r="M10">
        <v>7.9066095943339208E-3</v>
      </c>
      <c r="N10">
        <v>7.9066095943339208E-3</v>
      </c>
      <c r="O10">
        <v>1.5813219188667842E-2</v>
      </c>
      <c r="P10">
        <v>3.1626438377335683E-2</v>
      </c>
      <c r="Q10">
        <v>3.1626438377335683E-2</v>
      </c>
      <c r="R10">
        <v>3.9533047971669608E-2</v>
      </c>
      <c r="S10">
        <v>4.7439657566003525E-2</v>
      </c>
      <c r="T10">
        <v>4.7439657566003525E-2</v>
      </c>
      <c r="U10">
        <v>4.7439657566003525E-2</v>
      </c>
      <c r="V10">
        <v>4.7439657566003525E-2</v>
      </c>
      <c r="W10">
        <v>4.7439657566003525E-2</v>
      </c>
      <c r="X10">
        <v>4.7439657566003525E-2</v>
      </c>
      <c r="Y10">
        <v>4.7439657566003525E-2</v>
      </c>
      <c r="Z10">
        <v>4.7439657566003525E-2</v>
      </c>
      <c r="AA10">
        <v>7.9066095943339215E-2</v>
      </c>
      <c r="AB10">
        <v>7.9066095943339215E-2</v>
      </c>
      <c r="AC10">
        <v>0.11859914391500882</v>
      </c>
      <c r="AD10">
        <v>0.12650575350934273</v>
      </c>
      <c r="AE10">
        <v>0.15022558229234451</v>
      </c>
      <c r="AF10">
        <v>0.17394541107534625</v>
      </c>
      <c r="AG10">
        <v>0.17394541107534625</v>
      </c>
      <c r="AH10">
        <v>0.21347845904701587</v>
      </c>
      <c r="AI10">
        <v>0.22929167823568372</v>
      </c>
      <c r="AJ10">
        <v>0.22929167823568372</v>
      </c>
      <c r="AK10">
        <v>0.22929167823568372</v>
      </c>
      <c r="AL10">
        <v>0.26091811661301939</v>
      </c>
      <c r="AM10">
        <v>0.27673133580168724</v>
      </c>
      <c r="AN10">
        <v>0.32417099336769079</v>
      </c>
      <c r="AO10">
        <v>0.33207760296202471</v>
      </c>
      <c r="AP10">
        <v>0.33998421255635863</v>
      </c>
    </row>
    <row r="11" spans="1:64" x14ac:dyDescent="0.3">
      <c r="A11" s="1" t="s">
        <v>204</v>
      </c>
      <c r="B11">
        <v>1.9504893631525449E-2</v>
      </c>
      <c r="C11">
        <v>3.9009787263050898E-2</v>
      </c>
      <c r="D11">
        <v>3.9009787263050898E-2</v>
      </c>
      <c r="E11">
        <v>0.11702936178915269</v>
      </c>
      <c r="F11">
        <v>0.15603914905220359</v>
      </c>
      <c r="G11">
        <v>0.19504893631525447</v>
      </c>
      <c r="H11">
        <v>0.23405872357830537</v>
      </c>
      <c r="I11">
        <v>0.25356361720983084</v>
      </c>
      <c r="J11">
        <v>0.25356361720983084</v>
      </c>
      <c r="K11">
        <v>0.31207829810440718</v>
      </c>
      <c r="L11">
        <v>0.33158319173593259</v>
      </c>
      <c r="M11">
        <v>0.5461370216827125</v>
      </c>
      <c r="N11">
        <v>0.5461370216827125</v>
      </c>
      <c r="O11">
        <v>0.68267127710339071</v>
      </c>
      <c r="P11">
        <v>0.68267127710339071</v>
      </c>
      <c r="Q11">
        <v>0.8192055325240688</v>
      </c>
      <c r="R11">
        <v>0.85821531978711973</v>
      </c>
      <c r="S11">
        <v>0.97524468157627242</v>
      </c>
      <c r="T11">
        <v>1.0337593624708488</v>
      </c>
      <c r="U11">
        <v>1.0532642561023742</v>
      </c>
      <c r="V11">
        <v>1.1702936178915269</v>
      </c>
      <c r="W11">
        <v>1.2873229796806795</v>
      </c>
      <c r="X11">
        <v>1.2873229796806795</v>
      </c>
      <c r="Y11">
        <v>1.4043523414698322</v>
      </c>
      <c r="Z11">
        <v>1.4628670223644085</v>
      </c>
      <c r="AA11">
        <v>1.4628670223644085</v>
      </c>
      <c r="AB11">
        <v>1.5798963841535612</v>
      </c>
      <c r="AC11">
        <v>1.6384110650481376</v>
      </c>
      <c r="AD11">
        <v>1.7749453204688157</v>
      </c>
      <c r="AE11">
        <v>1.8334600013633922</v>
      </c>
      <c r="AF11">
        <v>1.9894991504155957</v>
      </c>
      <c r="AG11">
        <v>2.1650431930993248</v>
      </c>
      <c r="AH11">
        <v>2.1650431930993248</v>
      </c>
      <c r="AI11">
        <v>2.3405872357830537</v>
      </c>
    </row>
    <row r="12" spans="1:64" x14ac:dyDescent="0.3">
      <c r="A12" s="1" t="s">
        <v>205</v>
      </c>
      <c r="B12">
        <v>1.4730575346369961E-2</v>
      </c>
      <c r="C12">
        <v>2.9461150692739923E-2</v>
      </c>
      <c r="D12">
        <v>2.9461150692739923E-2</v>
      </c>
      <c r="E12">
        <v>4.419172603910989E-2</v>
      </c>
      <c r="F12">
        <v>5.8922301385479846E-2</v>
      </c>
      <c r="G12">
        <v>8.8383452078219779E-2</v>
      </c>
      <c r="H12">
        <v>0.11784460277095969</v>
      </c>
      <c r="I12">
        <v>0.11784460277095969</v>
      </c>
      <c r="J12">
        <v>0.11784460277095969</v>
      </c>
      <c r="K12">
        <v>0.30934208227376919</v>
      </c>
      <c r="L12">
        <v>0.30934208227376919</v>
      </c>
      <c r="M12">
        <v>0.82491221939671788</v>
      </c>
      <c r="N12">
        <v>0.82491221939671788</v>
      </c>
      <c r="O12">
        <v>1.0606014249386373</v>
      </c>
      <c r="P12">
        <v>2.032819397799055</v>
      </c>
      <c r="Q12">
        <v>2.6220424116538532</v>
      </c>
      <c r="R12">
        <v>3.4469546310505712</v>
      </c>
      <c r="S12">
        <v>4.1540222476763295</v>
      </c>
      <c r="T12">
        <v>4.9494733163803071</v>
      </c>
      <c r="U12">
        <v>6.2310333715144939</v>
      </c>
    </row>
    <row r="13" spans="1:64" x14ac:dyDescent="0.3">
      <c r="A13" s="1" t="s">
        <v>18</v>
      </c>
      <c r="B13">
        <v>3.0211238398812701E-3</v>
      </c>
      <c r="C13">
        <v>3.0211238398812701E-3</v>
      </c>
      <c r="D13">
        <v>1.8126743039287622E-2</v>
      </c>
      <c r="E13">
        <v>2.1147866879168892E-2</v>
      </c>
      <c r="F13">
        <v>3.3232362238693969E-2</v>
      </c>
      <c r="G13">
        <v>3.6253486078575245E-2</v>
      </c>
      <c r="H13">
        <v>4.2295733758337783E-2</v>
      </c>
      <c r="I13">
        <v>5.1359105277981591E-2</v>
      </c>
      <c r="J13">
        <v>6.3443600637506675E-2</v>
      </c>
      <c r="K13">
        <v>6.6464724477387938E-2</v>
      </c>
      <c r="L13">
        <v>8.4591467516675567E-2</v>
      </c>
      <c r="M13">
        <v>0.10876045823572572</v>
      </c>
      <c r="N13">
        <v>0.12084495359525081</v>
      </c>
      <c r="O13">
        <v>0.14199282047441969</v>
      </c>
      <c r="P13">
        <v>0.16314068735358858</v>
      </c>
      <c r="Q13">
        <v>0.19033080191252003</v>
      </c>
      <c r="R13">
        <v>0.25679552638990799</v>
      </c>
      <c r="S13">
        <v>0.32628137470717716</v>
      </c>
      <c r="T13">
        <v>0.3564926131059899</v>
      </c>
      <c r="U13">
        <v>0.60422476797625402</v>
      </c>
      <c r="V13">
        <v>0.73715421693102989</v>
      </c>
      <c r="W13">
        <v>0.92748501884354995</v>
      </c>
      <c r="X13">
        <v>1.2598086412304896</v>
      </c>
      <c r="Y13">
        <v>1.6827659788138676</v>
      </c>
      <c r="Z13">
        <v>2.1329134309561768</v>
      </c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31516-D9FB-42F9-A4C8-3C03293FCE14}">
  <sheetPr codeName="Sheet9"/>
  <dimension ref="A1:BL13"/>
  <sheetViews>
    <sheetView workbookViewId="0">
      <selection activeCell="P68" sqref="P68"/>
    </sheetView>
  </sheetViews>
  <sheetFormatPr defaultRowHeight="14.4" x14ac:dyDescent="0.3"/>
  <cols>
    <col min="1" max="1" width="16.77734375" bestFit="1" customWidth="1"/>
    <col min="2" max="10" width="4.21875" bestFit="1" customWidth="1"/>
    <col min="11" max="58" width="5.21875" bestFit="1" customWidth="1"/>
    <col min="59" max="64" width="5.21875" customWidth="1"/>
  </cols>
  <sheetData>
    <row r="1" spans="1:64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</row>
    <row r="2" spans="1:64" x14ac:dyDescent="0.3">
      <c r="A2" s="1" t="s">
        <v>42</v>
      </c>
      <c r="B2">
        <v>1</v>
      </c>
      <c r="C2">
        <v>1</v>
      </c>
      <c r="D2">
        <v>1</v>
      </c>
      <c r="E2">
        <v>2</v>
      </c>
      <c r="F2">
        <v>2</v>
      </c>
      <c r="G2">
        <v>2</v>
      </c>
      <c r="H2">
        <v>2</v>
      </c>
      <c r="I2">
        <v>3</v>
      </c>
      <c r="J2">
        <v>3</v>
      </c>
      <c r="K2">
        <v>3</v>
      </c>
      <c r="L2">
        <v>3</v>
      </c>
      <c r="M2">
        <v>3</v>
      </c>
      <c r="N2">
        <v>3</v>
      </c>
      <c r="O2">
        <v>3</v>
      </c>
      <c r="P2">
        <v>3</v>
      </c>
      <c r="Q2">
        <v>3</v>
      </c>
      <c r="R2">
        <v>5</v>
      </c>
      <c r="S2">
        <v>6</v>
      </c>
      <c r="T2">
        <v>6</v>
      </c>
      <c r="U2">
        <v>7</v>
      </c>
      <c r="V2">
        <v>7</v>
      </c>
      <c r="W2">
        <v>7</v>
      </c>
      <c r="X2">
        <v>7</v>
      </c>
      <c r="Y2">
        <v>8</v>
      </c>
    </row>
    <row r="3" spans="1:64" x14ac:dyDescent="0.3">
      <c r="A3" s="1" t="s">
        <v>43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4</v>
      </c>
      <c r="J3">
        <v>5</v>
      </c>
      <c r="K3">
        <v>8</v>
      </c>
      <c r="L3">
        <v>9</v>
      </c>
      <c r="M3">
        <v>12</v>
      </c>
      <c r="N3">
        <v>19</v>
      </c>
      <c r="O3">
        <v>21</v>
      </c>
      <c r="P3">
        <v>25</v>
      </c>
      <c r="Q3">
        <v>26</v>
      </c>
    </row>
    <row r="4" spans="1:64" x14ac:dyDescent="0.3">
      <c r="A4" s="1" t="s">
        <v>202</v>
      </c>
      <c r="B4">
        <v>17</v>
      </c>
      <c r="C4">
        <v>18</v>
      </c>
      <c r="D4">
        <v>26</v>
      </c>
      <c r="E4">
        <v>42</v>
      </c>
      <c r="F4">
        <v>56</v>
      </c>
      <c r="G4">
        <v>82</v>
      </c>
      <c r="H4">
        <v>131</v>
      </c>
      <c r="I4">
        <v>133</v>
      </c>
      <c r="J4">
        <v>171</v>
      </c>
      <c r="K4">
        <v>213</v>
      </c>
      <c r="L4">
        <v>259</v>
      </c>
      <c r="M4">
        <v>361</v>
      </c>
      <c r="N4">
        <v>425</v>
      </c>
      <c r="O4">
        <v>491</v>
      </c>
      <c r="P4">
        <v>563</v>
      </c>
      <c r="Q4">
        <v>633</v>
      </c>
      <c r="R4">
        <v>718</v>
      </c>
      <c r="S4">
        <v>805</v>
      </c>
      <c r="T4">
        <v>905</v>
      </c>
      <c r="U4">
        <v>1012</v>
      </c>
      <c r="V4">
        <v>1112</v>
      </c>
      <c r="W4">
        <v>1117</v>
      </c>
      <c r="X4">
        <v>1369</v>
      </c>
      <c r="Y4">
        <v>1521</v>
      </c>
      <c r="Z4">
        <v>1663</v>
      </c>
      <c r="AA4">
        <v>1766</v>
      </c>
      <c r="AB4">
        <v>1864</v>
      </c>
      <c r="AC4">
        <v>2003</v>
      </c>
      <c r="AD4">
        <v>2116</v>
      </c>
      <c r="AE4">
        <v>2238</v>
      </c>
      <c r="AF4">
        <v>2238</v>
      </c>
      <c r="AG4">
        <v>2443</v>
      </c>
      <c r="AH4">
        <v>2445</v>
      </c>
      <c r="AI4">
        <v>2595</v>
      </c>
      <c r="AJ4">
        <v>2665</v>
      </c>
      <c r="AK4">
        <v>2717</v>
      </c>
      <c r="AL4">
        <v>2746</v>
      </c>
      <c r="AM4">
        <v>2790</v>
      </c>
      <c r="AN4">
        <v>2837</v>
      </c>
      <c r="AO4">
        <v>2872</v>
      </c>
      <c r="AP4">
        <v>2914</v>
      </c>
      <c r="AQ4">
        <v>2947</v>
      </c>
      <c r="AR4">
        <v>2983</v>
      </c>
      <c r="AS4">
        <v>3015</v>
      </c>
      <c r="AT4">
        <v>3044</v>
      </c>
      <c r="AU4">
        <v>3072</v>
      </c>
      <c r="AV4">
        <v>3100</v>
      </c>
      <c r="AW4">
        <v>3123</v>
      </c>
      <c r="AX4">
        <v>3139</v>
      </c>
      <c r="AY4">
        <v>3161</v>
      </c>
      <c r="AZ4">
        <v>3172</v>
      </c>
      <c r="BA4">
        <v>3180</v>
      </c>
      <c r="BB4">
        <v>3193</v>
      </c>
      <c r="BC4">
        <v>3203</v>
      </c>
      <c r="BD4">
        <v>3217</v>
      </c>
      <c r="BE4">
        <v>3230</v>
      </c>
      <c r="BF4">
        <v>3241</v>
      </c>
      <c r="BG4">
        <v>3249</v>
      </c>
      <c r="BH4">
        <v>3253</v>
      </c>
      <c r="BI4">
        <v>3259</v>
      </c>
      <c r="BJ4">
        <v>3274</v>
      </c>
      <c r="BK4">
        <v>3274</v>
      </c>
      <c r="BL4">
        <v>3281</v>
      </c>
    </row>
    <row r="5" spans="1:64" x14ac:dyDescent="0.3">
      <c r="A5" s="1" t="s">
        <v>79</v>
      </c>
      <c r="B5">
        <v>1</v>
      </c>
      <c r="C5">
        <v>2</v>
      </c>
      <c r="D5">
        <v>3</v>
      </c>
      <c r="E5">
        <v>4</v>
      </c>
      <c r="F5">
        <v>4</v>
      </c>
      <c r="G5">
        <v>6</v>
      </c>
      <c r="H5">
        <v>9</v>
      </c>
      <c r="I5">
        <v>13</v>
      </c>
      <c r="J5">
        <v>13</v>
      </c>
      <c r="K5">
        <v>24</v>
      </c>
      <c r="L5">
        <v>32</v>
      </c>
    </row>
    <row r="6" spans="1:64" x14ac:dyDescent="0.3">
      <c r="A6" s="1" t="s">
        <v>36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2</v>
      </c>
      <c r="N6">
        <v>2</v>
      </c>
      <c r="O6">
        <v>2</v>
      </c>
      <c r="P6">
        <v>2</v>
      </c>
      <c r="Q6">
        <v>2</v>
      </c>
      <c r="R6">
        <v>3</v>
      </c>
      <c r="S6">
        <v>4</v>
      </c>
      <c r="T6">
        <v>4</v>
      </c>
      <c r="U6">
        <v>6</v>
      </c>
      <c r="V6">
        <v>9</v>
      </c>
      <c r="W6">
        <v>11</v>
      </c>
      <c r="X6">
        <v>19</v>
      </c>
      <c r="Y6">
        <v>19</v>
      </c>
      <c r="Z6">
        <v>33</v>
      </c>
      <c r="AA6">
        <v>48</v>
      </c>
      <c r="AB6">
        <v>48</v>
      </c>
      <c r="AC6">
        <v>79</v>
      </c>
      <c r="AD6">
        <v>91</v>
      </c>
      <c r="AE6">
        <v>91</v>
      </c>
      <c r="AF6">
        <v>149</v>
      </c>
      <c r="AG6">
        <v>149</v>
      </c>
      <c r="AH6">
        <v>149</v>
      </c>
      <c r="AI6">
        <v>244</v>
      </c>
      <c r="AJ6">
        <v>451</v>
      </c>
      <c r="AK6">
        <v>563</v>
      </c>
      <c r="AL6">
        <v>676</v>
      </c>
      <c r="AM6">
        <v>862</v>
      </c>
      <c r="AN6">
        <v>1102</v>
      </c>
    </row>
    <row r="7" spans="1:64" x14ac:dyDescent="0.3">
      <c r="A7" s="1" t="s">
        <v>46</v>
      </c>
      <c r="B7">
        <v>2</v>
      </c>
      <c r="C7">
        <v>2</v>
      </c>
      <c r="D7">
        <v>3</v>
      </c>
      <c r="E7">
        <v>3</v>
      </c>
      <c r="F7">
        <v>7</v>
      </c>
      <c r="G7">
        <v>9</v>
      </c>
      <c r="H7">
        <v>11</v>
      </c>
      <c r="I7">
        <v>17</v>
      </c>
      <c r="J7">
        <v>24</v>
      </c>
      <c r="K7">
        <v>28</v>
      </c>
      <c r="L7">
        <v>44</v>
      </c>
      <c r="M7">
        <v>67</v>
      </c>
      <c r="N7">
        <v>84</v>
      </c>
      <c r="O7">
        <v>94</v>
      </c>
      <c r="P7">
        <v>123</v>
      </c>
      <c r="Q7">
        <v>157</v>
      </c>
    </row>
    <row r="8" spans="1:64" x14ac:dyDescent="0.3">
      <c r="A8" s="1" t="s">
        <v>203</v>
      </c>
      <c r="B8">
        <v>2</v>
      </c>
      <c r="C8">
        <v>2</v>
      </c>
      <c r="D8">
        <v>4</v>
      </c>
      <c r="E8">
        <v>5</v>
      </c>
      <c r="F8">
        <v>8</v>
      </c>
      <c r="G8">
        <v>12</v>
      </c>
      <c r="H8">
        <v>16</v>
      </c>
      <c r="I8">
        <v>19</v>
      </c>
      <c r="J8">
        <v>26</v>
      </c>
      <c r="K8">
        <v>34</v>
      </c>
      <c r="L8">
        <v>43</v>
      </c>
      <c r="M8">
        <v>54</v>
      </c>
      <c r="N8">
        <v>66</v>
      </c>
      <c r="O8">
        <v>77</v>
      </c>
      <c r="P8">
        <v>92</v>
      </c>
      <c r="Q8">
        <v>107</v>
      </c>
      <c r="R8">
        <v>124</v>
      </c>
      <c r="S8">
        <v>145</v>
      </c>
      <c r="T8">
        <v>194</v>
      </c>
      <c r="U8">
        <v>237</v>
      </c>
      <c r="V8">
        <v>291</v>
      </c>
      <c r="W8">
        <v>354</v>
      </c>
      <c r="X8">
        <v>429</v>
      </c>
      <c r="Y8">
        <v>514</v>
      </c>
      <c r="Z8">
        <v>611</v>
      </c>
      <c r="AA8">
        <v>724</v>
      </c>
      <c r="AB8">
        <v>853</v>
      </c>
      <c r="AC8">
        <v>988</v>
      </c>
      <c r="AD8">
        <v>1135</v>
      </c>
      <c r="AE8">
        <v>1284</v>
      </c>
      <c r="AF8">
        <v>1433</v>
      </c>
      <c r="AG8">
        <v>1556</v>
      </c>
      <c r="AH8">
        <v>1685</v>
      </c>
      <c r="AI8">
        <v>1812</v>
      </c>
      <c r="AJ8">
        <v>1934</v>
      </c>
    </row>
    <row r="9" spans="1:64" x14ac:dyDescent="0.3">
      <c r="A9" s="1" t="s">
        <v>55</v>
      </c>
      <c r="B9">
        <v>1</v>
      </c>
      <c r="C9">
        <v>2</v>
      </c>
      <c r="D9">
        <v>3</v>
      </c>
      <c r="E9">
        <v>7</v>
      </c>
      <c r="F9">
        <v>10</v>
      </c>
      <c r="G9">
        <v>12</v>
      </c>
      <c r="H9">
        <v>17</v>
      </c>
      <c r="I9">
        <v>21</v>
      </c>
      <c r="J9">
        <v>29</v>
      </c>
      <c r="K9">
        <v>34</v>
      </c>
      <c r="L9">
        <v>52</v>
      </c>
      <c r="M9">
        <v>79</v>
      </c>
      <c r="N9">
        <v>107</v>
      </c>
      <c r="O9">
        <v>148</v>
      </c>
      <c r="P9">
        <v>197</v>
      </c>
      <c r="Q9">
        <v>233</v>
      </c>
      <c r="R9">
        <v>366</v>
      </c>
      <c r="S9">
        <v>463</v>
      </c>
      <c r="T9">
        <v>631</v>
      </c>
      <c r="U9">
        <v>827</v>
      </c>
      <c r="V9">
        <v>827</v>
      </c>
      <c r="W9">
        <v>1266</v>
      </c>
      <c r="X9">
        <v>1441</v>
      </c>
      <c r="Y9">
        <v>1809</v>
      </c>
      <c r="Z9">
        <v>2158</v>
      </c>
      <c r="AA9">
        <v>2503</v>
      </c>
      <c r="AB9">
        <v>2978</v>
      </c>
      <c r="AC9">
        <v>3405</v>
      </c>
      <c r="AD9">
        <v>4032</v>
      </c>
      <c r="AE9">
        <v>4825</v>
      </c>
      <c r="AF9">
        <v>5476</v>
      </c>
      <c r="AG9">
        <v>6077</v>
      </c>
      <c r="AH9">
        <v>6820</v>
      </c>
    </row>
    <row r="10" spans="1:64" x14ac:dyDescent="0.3">
      <c r="A10" s="1" t="s">
        <v>2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2</v>
      </c>
      <c r="P10">
        <v>4</v>
      </c>
      <c r="Q10">
        <v>4</v>
      </c>
      <c r="R10">
        <v>5</v>
      </c>
      <c r="S10">
        <v>6</v>
      </c>
      <c r="T10">
        <v>6</v>
      </c>
      <c r="U10">
        <v>6</v>
      </c>
      <c r="V10">
        <v>6</v>
      </c>
      <c r="W10">
        <v>6</v>
      </c>
      <c r="X10">
        <v>6</v>
      </c>
      <c r="Y10">
        <v>6</v>
      </c>
      <c r="Z10">
        <v>6</v>
      </c>
      <c r="AA10">
        <v>10</v>
      </c>
      <c r="AB10">
        <v>10</v>
      </c>
      <c r="AC10">
        <v>15</v>
      </c>
      <c r="AD10">
        <v>16</v>
      </c>
      <c r="AE10">
        <v>19</v>
      </c>
      <c r="AF10">
        <v>22</v>
      </c>
      <c r="AG10">
        <v>22</v>
      </c>
      <c r="AH10">
        <v>27</v>
      </c>
      <c r="AI10">
        <v>29</v>
      </c>
      <c r="AJ10">
        <v>29</v>
      </c>
      <c r="AK10">
        <v>29</v>
      </c>
      <c r="AL10">
        <v>33</v>
      </c>
      <c r="AM10">
        <v>35</v>
      </c>
      <c r="AN10">
        <v>41</v>
      </c>
      <c r="AO10">
        <v>42</v>
      </c>
      <c r="AP10">
        <v>43</v>
      </c>
    </row>
    <row r="11" spans="1:64" x14ac:dyDescent="0.3">
      <c r="A11" s="1" t="s">
        <v>204</v>
      </c>
      <c r="B11">
        <v>1</v>
      </c>
      <c r="C11">
        <v>2</v>
      </c>
      <c r="D11">
        <v>2</v>
      </c>
      <c r="E11">
        <v>6</v>
      </c>
      <c r="F11">
        <v>8</v>
      </c>
      <c r="G11">
        <v>10</v>
      </c>
      <c r="H11">
        <v>12</v>
      </c>
      <c r="I11">
        <v>13</v>
      </c>
      <c r="J11">
        <v>13</v>
      </c>
      <c r="K11">
        <v>16</v>
      </c>
      <c r="L11">
        <v>17</v>
      </c>
      <c r="M11">
        <v>28</v>
      </c>
      <c r="N11">
        <v>28</v>
      </c>
      <c r="O11">
        <v>35</v>
      </c>
      <c r="P11">
        <v>35</v>
      </c>
      <c r="Q11">
        <v>42</v>
      </c>
      <c r="R11">
        <v>44</v>
      </c>
      <c r="S11">
        <v>50</v>
      </c>
      <c r="T11">
        <v>53</v>
      </c>
      <c r="U11">
        <v>54</v>
      </c>
      <c r="V11">
        <v>60</v>
      </c>
      <c r="W11">
        <v>66</v>
      </c>
      <c r="X11">
        <v>66</v>
      </c>
      <c r="Y11">
        <v>72</v>
      </c>
      <c r="Z11">
        <v>75</v>
      </c>
      <c r="AA11">
        <v>75</v>
      </c>
      <c r="AB11">
        <v>81</v>
      </c>
      <c r="AC11">
        <v>84</v>
      </c>
      <c r="AD11">
        <v>91</v>
      </c>
      <c r="AE11">
        <v>94</v>
      </c>
      <c r="AF11">
        <v>102</v>
      </c>
      <c r="AG11">
        <v>111</v>
      </c>
      <c r="AH11">
        <v>111</v>
      </c>
      <c r="AI11">
        <v>120</v>
      </c>
    </row>
    <row r="12" spans="1:64" x14ac:dyDescent="0.3">
      <c r="A12" s="1" t="s">
        <v>205</v>
      </c>
      <c r="B12">
        <v>1</v>
      </c>
      <c r="C12">
        <v>2</v>
      </c>
      <c r="D12">
        <v>2</v>
      </c>
      <c r="E12">
        <v>3</v>
      </c>
      <c r="F12">
        <v>4</v>
      </c>
      <c r="G12">
        <v>6</v>
      </c>
      <c r="H12">
        <v>8</v>
      </c>
      <c r="I12">
        <v>8</v>
      </c>
      <c r="J12">
        <v>8</v>
      </c>
      <c r="K12">
        <v>21</v>
      </c>
      <c r="L12">
        <v>21</v>
      </c>
      <c r="M12">
        <v>56</v>
      </c>
      <c r="N12">
        <v>56</v>
      </c>
      <c r="O12">
        <v>72</v>
      </c>
      <c r="P12">
        <v>138</v>
      </c>
      <c r="Q12">
        <v>178</v>
      </c>
      <c r="R12">
        <v>234</v>
      </c>
      <c r="S12">
        <v>282</v>
      </c>
      <c r="T12">
        <v>336</v>
      </c>
      <c r="U12">
        <v>423</v>
      </c>
    </row>
    <row r="13" spans="1:64" x14ac:dyDescent="0.3">
      <c r="A13" s="1" t="s">
        <v>18</v>
      </c>
      <c r="B13">
        <v>1</v>
      </c>
      <c r="C13">
        <v>1</v>
      </c>
      <c r="D13">
        <v>6</v>
      </c>
      <c r="E13">
        <v>7</v>
      </c>
      <c r="F13">
        <v>11</v>
      </c>
      <c r="G13">
        <v>12</v>
      </c>
      <c r="H13">
        <v>14</v>
      </c>
      <c r="I13">
        <v>17</v>
      </c>
      <c r="J13">
        <v>21</v>
      </c>
      <c r="K13">
        <v>22</v>
      </c>
      <c r="L13">
        <v>28</v>
      </c>
      <c r="M13">
        <v>36</v>
      </c>
      <c r="N13">
        <v>40</v>
      </c>
      <c r="O13">
        <v>47</v>
      </c>
      <c r="P13">
        <v>54</v>
      </c>
      <c r="Q13">
        <v>63</v>
      </c>
      <c r="R13">
        <v>85</v>
      </c>
      <c r="S13">
        <v>108</v>
      </c>
      <c r="T13">
        <v>118</v>
      </c>
      <c r="U13">
        <v>200</v>
      </c>
      <c r="V13">
        <v>244</v>
      </c>
      <c r="W13">
        <v>307</v>
      </c>
      <c r="X13">
        <v>417</v>
      </c>
      <c r="Y13">
        <v>557</v>
      </c>
      <c r="Z13">
        <v>706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80897-8987-4A08-A4E8-EBEA4FAAF40F}">
  <sheetPr codeName="Sheet10"/>
  <dimension ref="A1:N64"/>
  <sheetViews>
    <sheetView workbookViewId="0">
      <selection activeCell="Q40" sqref="Q40"/>
    </sheetView>
  </sheetViews>
  <sheetFormatPr defaultRowHeight="14.4" x14ac:dyDescent="0.3"/>
  <cols>
    <col min="1" max="2" width="10.5546875" bestFit="1" customWidth="1"/>
    <col min="3" max="3" width="9.5546875" customWidth="1"/>
    <col min="4" max="4" width="8" bestFit="1" customWidth="1"/>
    <col min="5" max="5" width="10.88671875" bestFit="1" customWidth="1"/>
    <col min="6" max="6" width="8.77734375" bestFit="1" customWidth="1"/>
    <col min="7" max="7" width="10.88671875" bestFit="1" customWidth="1"/>
    <col min="8" max="8" width="6.5546875" bestFit="1" customWidth="1"/>
    <col min="9" max="9" width="6.88671875" bestFit="1" customWidth="1"/>
    <col min="10" max="10" width="8.109375" bestFit="1" customWidth="1"/>
    <col min="11" max="11" width="14.109375" bestFit="1" customWidth="1"/>
    <col min="12" max="12" width="5.5546875" bestFit="1" customWidth="1"/>
    <col min="13" max="13" width="17" bestFit="1" customWidth="1"/>
    <col min="14" max="14" width="7.44140625" customWidth="1"/>
    <col min="15" max="15" width="9.6640625" bestFit="1" customWidth="1"/>
    <col min="16" max="16" width="12.88671875" bestFit="1" customWidth="1"/>
    <col min="17" max="17" width="11.109375" bestFit="1" customWidth="1"/>
    <col min="18" max="18" width="9.33203125" bestFit="1" customWidth="1"/>
    <col min="19" max="19" width="10" bestFit="1" customWidth="1"/>
    <col min="20" max="20" width="8" bestFit="1" customWidth="1"/>
    <col min="21" max="21" width="9.33203125" bestFit="1" customWidth="1"/>
    <col min="22" max="22" width="8.77734375" bestFit="1" customWidth="1"/>
    <col min="23" max="23" width="23.5546875" bestFit="1" customWidth="1"/>
    <col min="24" max="24" width="7.6640625" bestFit="1" customWidth="1"/>
    <col min="25" max="25" width="8.6640625" bestFit="1" customWidth="1"/>
    <col min="26" max="26" width="10" bestFit="1" customWidth="1"/>
    <col min="27" max="27" width="13.88671875" bestFit="1" customWidth="1"/>
    <col min="28" max="28" width="13" bestFit="1" customWidth="1"/>
    <col min="29" max="29" width="11.77734375" bestFit="1" customWidth="1"/>
    <col min="30" max="30" width="12" bestFit="1" customWidth="1"/>
    <col min="31" max="31" width="9.5546875" bestFit="1" customWidth="1"/>
    <col min="32" max="32" width="12.88671875" bestFit="1" customWidth="1"/>
    <col min="33" max="33" width="23.6640625" bestFit="1" customWidth="1"/>
    <col min="34" max="34" width="7.5546875" bestFit="1" customWidth="1"/>
    <col min="35" max="35" width="7.33203125" bestFit="1" customWidth="1"/>
    <col min="36" max="36" width="8" bestFit="1" customWidth="1"/>
    <col min="37" max="37" width="11.21875" bestFit="1" customWidth="1"/>
    <col min="38" max="38" width="19.21875" bestFit="1" customWidth="1"/>
    <col min="39" max="39" width="17.88671875" bestFit="1" customWidth="1"/>
    <col min="40" max="40" width="11.77734375" bestFit="1" customWidth="1"/>
    <col min="41" max="41" width="13.88671875" bestFit="1" customWidth="1"/>
    <col min="42" max="42" width="9.21875" bestFit="1" customWidth="1"/>
    <col min="43" max="43" width="12.44140625" bestFit="1" customWidth="1"/>
    <col min="44" max="44" width="7.5546875" bestFit="1" customWidth="1"/>
    <col min="45" max="45" width="9" bestFit="1" customWidth="1"/>
    <col min="46" max="46" width="9.5546875" bestFit="1" customWidth="1"/>
    <col min="47" max="47" width="10.88671875" bestFit="1" customWidth="1"/>
    <col min="48" max="48" width="9.88671875" bestFit="1" customWidth="1"/>
    <col min="49" max="49" width="11.109375" bestFit="1" customWidth="1"/>
    <col min="50" max="50" width="20.109375" bestFit="1" customWidth="1"/>
    <col min="51" max="51" width="12" bestFit="1" customWidth="1"/>
    <col min="52" max="52" width="10.109375" bestFit="1" customWidth="1"/>
    <col min="53" max="53" width="8" bestFit="1" customWidth="1"/>
    <col min="54" max="54" width="12.44140625" bestFit="1" customWidth="1"/>
    <col min="55" max="55" width="18.21875" bestFit="1" customWidth="1"/>
    <col min="56" max="56" width="8.6640625" bestFit="1" customWidth="1"/>
    <col min="57" max="57" width="9.33203125" bestFit="1" customWidth="1"/>
    <col min="58" max="59" width="10.109375" bestFit="1" customWidth="1"/>
    <col min="60" max="60" width="5.5546875" bestFit="1" customWidth="1"/>
    <col min="61" max="61" width="9.33203125" bestFit="1" customWidth="1"/>
    <col min="62" max="63" width="8.77734375" bestFit="1" customWidth="1"/>
    <col min="64" max="64" width="13.77734375" bestFit="1" customWidth="1"/>
    <col min="65" max="65" width="9.6640625" bestFit="1" customWidth="1"/>
    <col min="66" max="66" width="10.88671875" bestFit="1" customWidth="1"/>
    <col min="67" max="67" width="8.6640625" bestFit="1" customWidth="1"/>
    <col min="68" max="68" width="9" bestFit="1" customWidth="1"/>
    <col min="69" max="69" width="10.33203125" bestFit="1" customWidth="1"/>
    <col min="70" max="70" width="12.33203125" bestFit="1" customWidth="1"/>
    <col min="71" max="71" width="9.109375" bestFit="1" customWidth="1"/>
    <col min="72" max="72" width="9.6640625" bestFit="1" customWidth="1"/>
    <col min="73" max="73" width="7" bestFit="1" customWidth="1"/>
    <col min="74" max="74" width="10.44140625" bestFit="1" customWidth="1"/>
    <col min="75" max="75" width="11.33203125" bestFit="1" customWidth="1"/>
    <col min="76" max="76" width="10.33203125" bestFit="1" customWidth="1"/>
    <col min="77" max="77" width="9.33203125" bestFit="1" customWidth="1"/>
    <col min="78" max="78" width="7.44140625" bestFit="1" customWidth="1"/>
    <col min="79" max="79" width="11.44140625" bestFit="1" customWidth="1"/>
    <col min="80" max="81" width="6.5546875" bestFit="1" customWidth="1"/>
    <col min="82" max="82" width="9.109375" bestFit="1" customWidth="1"/>
    <col min="83" max="83" width="7.6640625" bestFit="1" customWidth="1"/>
    <col min="84" max="84" width="6.88671875" bestFit="1" customWidth="1"/>
    <col min="85" max="85" width="9.88671875" bestFit="1" customWidth="1"/>
    <col min="86" max="86" width="8.109375" bestFit="1" customWidth="1"/>
    <col min="87" max="87" width="8.88671875" bestFit="1" customWidth="1"/>
    <col min="88" max="88" width="12.77734375" bestFit="1" customWidth="1"/>
    <col min="89" max="89" width="8.44140625" bestFit="1" customWidth="1"/>
    <col min="90" max="90" width="14.109375" bestFit="1" customWidth="1"/>
    <col min="91" max="91" width="9.44140625" bestFit="1" customWidth="1"/>
    <col min="92" max="92" width="9" bestFit="1" customWidth="1"/>
    <col min="93" max="93" width="12.33203125" bestFit="1" customWidth="1"/>
    <col min="94" max="94" width="8.21875" bestFit="1" customWidth="1"/>
    <col min="95" max="95" width="10.5546875" bestFit="1" customWidth="1"/>
    <col min="96" max="96" width="8.77734375" bestFit="1" customWidth="1"/>
    <col min="97" max="97" width="14.33203125" bestFit="1" customWidth="1"/>
    <col min="98" max="98" width="11" bestFit="1" customWidth="1"/>
    <col min="99" max="99" width="13.77734375" bestFit="1" customWidth="1"/>
    <col min="100" max="100" width="13.44140625" bestFit="1" customWidth="1"/>
    <col min="101" max="101" width="10.6640625" bestFit="1" customWidth="1"/>
    <col min="102" max="102" width="10.77734375" bestFit="1" customWidth="1"/>
    <col min="103" max="103" width="8.109375" bestFit="1" customWidth="1"/>
    <col min="104" max="104" width="12.5546875" bestFit="1" customWidth="1"/>
    <col min="105" max="105" width="12.44140625" bestFit="1" customWidth="1"/>
    <col min="106" max="106" width="11.21875" bestFit="1" customWidth="1"/>
    <col min="107" max="107" width="9.33203125" bestFit="1" customWidth="1"/>
    <col min="108" max="108" width="10.77734375" bestFit="1" customWidth="1"/>
    <col min="109" max="109" width="10.21875" bestFit="1" customWidth="1"/>
    <col min="110" max="110" width="11.21875" bestFit="1" customWidth="1"/>
    <col min="111" max="111" width="13.77734375" bestFit="1" customWidth="1"/>
    <col min="112" max="112" width="10.77734375" bestFit="1" customWidth="1"/>
    <col min="113" max="113" width="14.33203125" bestFit="1" customWidth="1"/>
    <col min="114" max="114" width="10.21875" bestFit="1" customWidth="1"/>
    <col min="115" max="115" width="8.109375" bestFit="1" customWidth="1"/>
    <col min="116" max="116" width="13.44140625" bestFit="1" customWidth="1"/>
    <col min="117" max="117" width="14.109375" bestFit="1" customWidth="1"/>
    <col min="118" max="118" width="11.6640625" bestFit="1" customWidth="1"/>
    <col min="119" max="119" width="7.6640625" bestFit="1" customWidth="1"/>
    <col min="120" max="120" width="9.109375" bestFit="1" customWidth="1"/>
    <col min="121" max="121" width="18.109375" bestFit="1" customWidth="1"/>
    <col min="122" max="122" width="9.77734375" bestFit="1" customWidth="1"/>
    <col min="123" max="123" width="8.33203125" bestFit="1" customWidth="1"/>
    <col min="124" max="124" width="10.33203125" bestFit="1" customWidth="1"/>
    <col min="125" max="125" width="10.109375" bestFit="1" customWidth="1"/>
    <col min="126" max="126" width="19.21875" bestFit="1" customWidth="1"/>
    <col min="127" max="127" width="11.109375" bestFit="1" customWidth="1"/>
    <col min="128" max="128" width="7.109375" bestFit="1" customWidth="1"/>
    <col min="129" max="129" width="12.33203125" bestFit="1" customWidth="1"/>
    <col min="130" max="130" width="9.109375" bestFit="1" customWidth="1"/>
    <col min="131" max="131" width="10.33203125" bestFit="1" customWidth="1"/>
    <col min="132" max="132" width="7.88671875" bestFit="1" customWidth="1"/>
    <col min="133" max="133" width="10.6640625" bestFit="1" customWidth="1"/>
    <col min="134" max="134" width="8.44140625" bestFit="1" customWidth="1"/>
    <col min="135" max="135" width="10" bestFit="1" customWidth="1"/>
    <col min="136" max="136" width="12.21875" bestFit="1" customWidth="1"/>
    <col min="137" max="137" width="31.5546875" bestFit="1" customWidth="1"/>
    <col min="138" max="138" width="12.88671875" bestFit="1" customWidth="1"/>
    <col min="139" max="139" width="13.77734375" bestFit="1" customWidth="1"/>
    <col min="140" max="140" width="9.77734375" bestFit="1" customWidth="1"/>
    <col min="141" max="141" width="8.44140625" bestFit="1" customWidth="1"/>
    <col min="142" max="142" width="11.88671875" bestFit="1" customWidth="1"/>
    <col min="143" max="143" width="11.6640625" bestFit="1" customWidth="1"/>
    <col min="144" max="144" width="10.21875" bestFit="1" customWidth="1"/>
    <col min="145" max="145" width="10.33203125" bestFit="1" customWidth="1"/>
    <col min="146" max="146" width="9.88671875" bestFit="1" customWidth="1"/>
    <col min="147" max="147" width="13.5546875" bestFit="1" customWidth="1"/>
    <col min="148" max="148" width="7.88671875" bestFit="1" customWidth="1"/>
    <col min="149" max="149" width="10.77734375" bestFit="1" customWidth="1"/>
    <col min="150" max="150" width="8.5546875" bestFit="1" customWidth="1"/>
    <col min="151" max="151" width="11.21875" bestFit="1" customWidth="1"/>
    <col min="152" max="152" width="9.88671875" bestFit="1" customWidth="1"/>
    <col min="153" max="153" width="12.88671875" bestFit="1" customWidth="1"/>
    <col min="154" max="154" width="7.33203125" bestFit="1" customWidth="1"/>
    <col min="155" max="155" width="10.21875" bestFit="1" customWidth="1"/>
    <col min="156" max="156" width="10.6640625" bestFit="1" customWidth="1"/>
    <col min="157" max="157" width="10.44140625" bestFit="1" customWidth="1"/>
    <col min="158" max="158" width="13.109375" bestFit="1" customWidth="1"/>
    <col min="159" max="159" width="7.44140625" bestFit="1" customWidth="1"/>
    <col min="160" max="160" width="20.77734375" bestFit="1" customWidth="1"/>
    <col min="161" max="161" width="9.109375" bestFit="1" customWidth="1"/>
    <col min="162" max="162" width="9" bestFit="1" customWidth="1"/>
    <col min="163" max="163" width="5.5546875" bestFit="1" customWidth="1"/>
    <col min="164" max="165" width="9.77734375" bestFit="1" customWidth="1"/>
    <col min="166" max="166" width="21.21875" bestFit="1" customWidth="1"/>
    <col min="167" max="167" width="17" bestFit="1" customWidth="1"/>
    <col min="168" max="168" width="10.44140625" bestFit="1" customWidth="1"/>
    <col min="169" max="169" width="12.44140625" bestFit="1" customWidth="1"/>
    <col min="170" max="170" width="11.88671875" bestFit="1" customWidth="1"/>
    <col min="171" max="171" width="10.33203125" bestFit="1" customWidth="1"/>
    <col min="172" max="172" width="9.44140625" bestFit="1" customWidth="1"/>
    <col min="173" max="173" width="12" bestFit="1" customWidth="1"/>
    <col min="174" max="174" width="7.44140625" customWidth="1"/>
  </cols>
  <sheetData>
    <row r="1" spans="1:14" x14ac:dyDescent="0.3">
      <c r="A1" t="s">
        <v>412</v>
      </c>
      <c r="B1" t="s">
        <v>42</v>
      </c>
      <c r="C1" t="s">
        <v>43</v>
      </c>
      <c r="D1" t="s">
        <v>202</v>
      </c>
      <c r="E1" t="s">
        <v>79</v>
      </c>
      <c r="F1" t="s">
        <v>36</v>
      </c>
      <c r="G1" t="s">
        <v>46</v>
      </c>
      <c r="H1" t="s">
        <v>203</v>
      </c>
      <c r="I1" t="s">
        <v>55</v>
      </c>
      <c r="J1" t="s">
        <v>2</v>
      </c>
      <c r="K1" t="s">
        <v>204</v>
      </c>
      <c r="L1" t="s">
        <v>18</v>
      </c>
      <c r="M1" t="s">
        <v>205</v>
      </c>
      <c r="N1" t="s">
        <v>411</v>
      </c>
    </row>
    <row r="2" spans="1:14" x14ac:dyDescent="0.3">
      <c r="A2" s="2">
        <v>43852</v>
      </c>
      <c r="B2">
        <v>0</v>
      </c>
      <c r="C2">
        <v>0</v>
      </c>
      <c r="D2">
        <v>17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17</v>
      </c>
    </row>
    <row r="3" spans="1:14" x14ac:dyDescent="0.3">
      <c r="A3" s="2">
        <v>43853</v>
      </c>
      <c r="B3">
        <v>0</v>
      </c>
      <c r="C3">
        <v>0</v>
      </c>
      <c r="D3">
        <v>18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18</v>
      </c>
    </row>
    <row r="4" spans="1:14" x14ac:dyDescent="0.3">
      <c r="A4" s="2">
        <v>43854</v>
      </c>
      <c r="B4">
        <v>0</v>
      </c>
      <c r="C4">
        <v>0</v>
      </c>
      <c r="D4">
        <v>26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26</v>
      </c>
    </row>
    <row r="5" spans="1:14" x14ac:dyDescent="0.3">
      <c r="A5" s="2">
        <v>43855</v>
      </c>
      <c r="B5">
        <v>0</v>
      </c>
      <c r="C5">
        <v>0</v>
      </c>
      <c r="D5">
        <v>42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42</v>
      </c>
    </row>
    <row r="6" spans="1:14" x14ac:dyDescent="0.3">
      <c r="A6" s="2">
        <v>43856</v>
      </c>
      <c r="B6">
        <v>0</v>
      </c>
      <c r="C6">
        <v>0</v>
      </c>
      <c r="D6">
        <v>56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56</v>
      </c>
    </row>
    <row r="7" spans="1:14" x14ac:dyDescent="0.3">
      <c r="A7" s="2">
        <v>43857</v>
      </c>
      <c r="B7">
        <v>0</v>
      </c>
      <c r="C7">
        <v>0</v>
      </c>
      <c r="D7">
        <v>82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82</v>
      </c>
    </row>
    <row r="8" spans="1:14" x14ac:dyDescent="0.3">
      <c r="A8" s="2">
        <v>43858</v>
      </c>
      <c r="B8">
        <v>0</v>
      </c>
      <c r="C8">
        <v>0</v>
      </c>
      <c r="D8">
        <v>131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131</v>
      </c>
    </row>
    <row r="9" spans="1:14" x14ac:dyDescent="0.3">
      <c r="A9" s="2">
        <v>43859</v>
      </c>
      <c r="B9">
        <v>0</v>
      </c>
      <c r="C9">
        <v>0</v>
      </c>
      <c r="D9">
        <v>133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133</v>
      </c>
    </row>
    <row r="10" spans="1:14" x14ac:dyDescent="0.3">
      <c r="A10" s="2">
        <v>43860</v>
      </c>
      <c r="B10">
        <v>0</v>
      </c>
      <c r="C10">
        <v>0</v>
      </c>
      <c r="D10">
        <v>171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171</v>
      </c>
    </row>
    <row r="11" spans="1:14" x14ac:dyDescent="0.3">
      <c r="A11" s="2">
        <v>43861</v>
      </c>
      <c r="B11">
        <v>0</v>
      </c>
      <c r="C11">
        <v>0</v>
      </c>
      <c r="D11">
        <v>213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213</v>
      </c>
    </row>
    <row r="12" spans="1:14" x14ac:dyDescent="0.3">
      <c r="A12" s="2">
        <v>43862</v>
      </c>
      <c r="B12">
        <v>0</v>
      </c>
      <c r="C12">
        <v>0</v>
      </c>
      <c r="D12">
        <v>259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259</v>
      </c>
    </row>
    <row r="13" spans="1:14" x14ac:dyDescent="0.3">
      <c r="A13" s="2">
        <v>43863</v>
      </c>
      <c r="B13">
        <v>0</v>
      </c>
      <c r="C13">
        <v>0</v>
      </c>
      <c r="D13">
        <v>361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361</v>
      </c>
    </row>
    <row r="14" spans="1:14" x14ac:dyDescent="0.3">
      <c r="A14" s="2">
        <v>43864</v>
      </c>
      <c r="B14">
        <v>0</v>
      </c>
      <c r="C14">
        <v>0</v>
      </c>
      <c r="D14">
        <v>425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425</v>
      </c>
    </row>
    <row r="15" spans="1:14" x14ac:dyDescent="0.3">
      <c r="A15" s="2">
        <v>43865</v>
      </c>
      <c r="B15">
        <v>0</v>
      </c>
      <c r="C15">
        <v>0</v>
      </c>
      <c r="D15">
        <v>491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491</v>
      </c>
    </row>
    <row r="16" spans="1:14" x14ac:dyDescent="0.3">
      <c r="A16" s="2">
        <v>43866</v>
      </c>
      <c r="B16">
        <v>0</v>
      </c>
      <c r="C16">
        <v>0</v>
      </c>
      <c r="D16">
        <v>563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563</v>
      </c>
    </row>
    <row r="17" spans="1:14" x14ac:dyDescent="0.3">
      <c r="A17" s="2">
        <v>43867</v>
      </c>
      <c r="B17">
        <v>0</v>
      </c>
      <c r="C17">
        <v>0</v>
      </c>
      <c r="D17">
        <v>633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633</v>
      </c>
    </row>
    <row r="18" spans="1:14" x14ac:dyDescent="0.3">
      <c r="A18" s="2">
        <v>43868</v>
      </c>
      <c r="B18">
        <v>0</v>
      </c>
      <c r="C18">
        <v>0</v>
      </c>
      <c r="D18">
        <v>718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718</v>
      </c>
    </row>
    <row r="19" spans="1:14" x14ac:dyDescent="0.3">
      <c r="A19" s="2">
        <v>43869</v>
      </c>
      <c r="B19">
        <v>0</v>
      </c>
      <c r="C19">
        <v>0</v>
      </c>
      <c r="D19">
        <v>805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805</v>
      </c>
    </row>
    <row r="20" spans="1:14" x14ac:dyDescent="0.3">
      <c r="A20" s="2">
        <v>43870</v>
      </c>
      <c r="B20">
        <v>0</v>
      </c>
      <c r="C20">
        <v>0</v>
      </c>
      <c r="D20">
        <v>905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905</v>
      </c>
    </row>
    <row r="21" spans="1:14" x14ac:dyDescent="0.3">
      <c r="A21" s="2">
        <v>43871</v>
      </c>
      <c r="B21">
        <v>0</v>
      </c>
      <c r="C21">
        <v>0</v>
      </c>
      <c r="D21">
        <v>1012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1012</v>
      </c>
    </row>
    <row r="22" spans="1:14" x14ac:dyDescent="0.3">
      <c r="A22" s="2">
        <v>43872</v>
      </c>
      <c r="B22">
        <v>0</v>
      </c>
      <c r="C22">
        <v>0</v>
      </c>
      <c r="D22">
        <v>1112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1112</v>
      </c>
    </row>
    <row r="23" spans="1:14" x14ac:dyDescent="0.3">
      <c r="A23" s="2">
        <v>43873</v>
      </c>
      <c r="B23">
        <v>0</v>
      </c>
      <c r="C23">
        <v>0</v>
      </c>
      <c r="D23">
        <v>1117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1117</v>
      </c>
    </row>
    <row r="24" spans="1:14" x14ac:dyDescent="0.3">
      <c r="A24" s="2">
        <v>43874</v>
      </c>
      <c r="B24">
        <v>0</v>
      </c>
      <c r="C24">
        <v>0</v>
      </c>
      <c r="D24">
        <v>1369</v>
      </c>
      <c r="E24">
        <v>0</v>
      </c>
      <c r="F24">
        <v>0</v>
      </c>
      <c r="G24">
        <v>0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1370</v>
      </c>
    </row>
    <row r="25" spans="1:14" x14ac:dyDescent="0.3">
      <c r="A25" s="2">
        <v>43875</v>
      </c>
      <c r="B25">
        <v>0</v>
      </c>
      <c r="C25">
        <v>0</v>
      </c>
      <c r="D25">
        <v>1521</v>
      </c>
      <c r="E25">
        <v>0</v>
      </c>
      <c r="F25">
        <v>0</v>
      </c>
      <c r="G25">
        <v>0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1522</v>
      </c>
    </row>
    <row r="26" spans="1:14" x14ac:dyDescent="0.3">
      <c r="A26" s="2">
        <v>43876</v>
      </c>
      <c r="B26">
        <v>0</v>
      </c>
      <c r="C26">
        <v>0</v>
      </c>
      <c r="D26">
        <v>1663</v>
      </c>
      <c r="E26">
        <v>0</v>
      </c>
      <c r="F26">
        <v>1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1665</v>
      </c>
    </row>
    <row r="27" spans="1:14" x14ac:dyDescent="0.3">
      <c r="A27" s="2">
        <v>43877</v>
      </c>
      <c r="B27">
        <v>0</v>
      </c>
      <c r="C27">
        <v>0</v>
      </c>
      <c r="D27">
        <v>1766</v>
      </c>
      <c r="E27">
        <v>0</v>
      </c>
      <c r="F27">
        <v>1</v>
      </c>
      <c r="G27">
        <v>0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1768</v>
      </c>
    </row>
    <row r="28" spans="1:14" x14ac:dyDescent="0.3">
      <c r="A28" s="2">
        <v>43878</v>
      </c>
      <c r="B28">
        <v>0</v>
      </c>
      <c r="C28">
        <v>0</v>
      </c>
      <c r="D28">
        <v>1864</v>
      </c>
      <c r="E28">
        <v>0</v>
      </c>
      <c r="F28">
        <v>1</v>
      </c>
      <c r="G28">
        <v>0</v>
      </c>
      <c r="H28">
        <v>0</v>
      </c>
      <c r="I28">
        <v>0</v>
      </c>
      <c r="J28">
        <v>1</v>
      </c>
      <c r="K28">
        <v>0</v>
      </c>
      <c r="L28">
        <v>0</v>
      </c>
      <c r="M28">
        <v>0</v>
      </c>
      <c r="N28">
        <v>1866</v>
      </c>
    </row>
    <row r="29" spans="1:14" x14ac:dyDescent="0.3">
      <c r="A29" s="2">
        <v>43879</v>
      </c>
      <c r="B29">
        <v>0</v>
      </c>
      <c r="C29">
        <v>0</v>
      </c>
      <c r="D29">
        <v>2003</v>
      </c>
      <c r="E29">
        <v>0</v>
      </c>
      <c r="F29">
        <v>1</v>
      </c>
      <c r="G29">
        <v>0</v>
      </c>
      <c r="H29"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2005</v>
      </c>
    </row>
    <row r="30" spans="1:14" x14ac:dyDescent="0.3">
      <c r="A30" s="2">
        <v>43880</v>
      </c>
      <c r="B30">
        <v>0</v>
      </c>
      <c r="C30">
        <v>0</v>
      </c>
      <c r="D30">
        <v>2116</v>
      </c>
      <c r="E30">
        <v>0</v>
      </c>
      <c r="F30">
        <v>1</v>
      </c>
      <c r="G30">
        <v>0</v>
      </c>
      <c r="H30">
        <v>2</v>
      </c>
      <c r="I30">
        <v>0</v>
      </c>
      <c r="J30">
        <v>1</v>
      </c>
      <c r="K30">
        <v>0</v>
      </c>
      <c r="L30">
        <v>0</v>
      </c>
      <c r="M30">
        <v>0</v>
      </c>
      <c r="N30">
        <v>2120</v>
      </c>
    </row>
    <row r="31" spans="1:14" x14ac:dyDescent="0.3">
      <c r="A31" s="2">
        <v>43881</v>
      </c>
      <c r="B31">
        <v>0</v>
      </c>
      <c r="C31">
        <v>0</v>
      </c>
      <c r="D31">
        <v>2238</v>
      </c>
      <c r="E31">
        <v>0</v>
      </c>
      <c r="F31">
        <v>1</v>
      </c>
      <c r="G31">
        <v>0</v>
      </c>
      <c r="H31">
        <v>2</v>
      </c>
      <c r="I31">
        <v>0</v>
      </c>
      <c r="J31">
        <v>1</v>
      </c>
      <c r="K31">
        <v>1</v>
      </c>
      <c r="L31">
        <v>0</v>
      </c>
      <c r="M31">
        <v>0</v>
      </c>
      <c r="N31">
        <v>2243</v>
      </c>
    </row>
    <row r="32" spans="1:14" x14ac:dyDescent="0.3">
      <c r="A32" s="2">
        <v>43882</v>
      </c>
      <c r="B32">
        <v>0</v>
      </c>
      <c r="C32">
        <v>0</v>
      </c>
      <c r="D32">
        <v>2238</v>
      </c>
      <c r="E32">
        <v>0</v>
      </c>
      <c r="F32">
        <v>1</v>
      </c>
      <c r="G32">
        <v>0</v>
      </c>
      <c r="H32">
        <v>4</v>
      </c>
      <c r="I32">
        <v>1</v>
      </c>
      <c r="J32">
        <v>1</v>
      </c>
      <c r="K32">
        <v>2</v>
      </c>
      <c r="L32">
        <v>0</v>
      </c>
      <c r="M32">
        <v>0</v>
      </c>
      <c r="N32">
        <v>2247</v>
      </c>
    </row>
    <row r="33" spans="1:14" x14ac:dyDescent="0.3">
      <c r="A33" s="2">
        <v>43883</v>
      </c>
      <c r="B33">
        <v>0</v>
      </c>
      <c r="C33">
        <v>0</v>
      </c>
      <c r="D33">
        <v>2443</v>
      </c>
      <c r="E33">
        <v>0</v>
      </c>
      <c r="F33">
        <v>1</v>
      </c>
      <c r="G33">
        <v>0</v>
      </c>
      <c r="H33">
        <v>5</v>
      </c>
      <c r="I33">
        <v>2</v>
      </c>
      <c r="J33">
        <v>1</v>
      </c>
      <c r="K33">
        <v>2</v>
      </c>
      <c r="L33">
        <v>0</v>
      </c>
      <c r="M33">
        <v>0</v>
      </c>
      <c r="N33">
        <v>2454</v>
      </c>
    </row>
    <row r="34" spans="1:14" x14ac:dyDescent="0.3">
      <c r="A34" s="2">
        <v>43884</v>
      </c>
      <c r="B34">
        <v>0</v>
      </c>
      <c r="C34">
        <v>0</v>
      </c>
      <c r="D34">
        <v>2445</v>
      </c>
      <c r="E34">
        <v>0</v>
      </c>
      <c r="F34">
        <v>1</v>
      </c>
      <c r="G34">
        <v>0</v>
      </c>
      <c r="H34">
        <v>8</v>
      </c>
      <c r="I34">
        <v>3</v>
      </c>
      <c r="J34">
        <v>1</v>
      </c>
      <c r="K34">
        <v>6</v>
      </c>
      <c r="L34">
        <v>0</v>
      </c>
      <c r="M34">
        <v>0</v>
      </c>
      <c r="N34">
        <v>2464</v>
      </c>
    </row>
    <row r="35" spans="1:14" x14ac:dyDescent="0.3">
      <c r="A35" s="2">
        <v>43885</v>
      </c>
      <c r="B35">
        <v>0</v>
      </c>
      <c r="C35">
        <v>0</v>
      </c>
      <c r="D35">
        <v>2595</v>
      </c>
      <c r="E35">
        <v>0</v>
      </c>
      <c r="F35">
        <v>1</v>
      </c>
      <c r="G35">
        <v>0</v>
      </c>
      <c r="H35">
        <v>12</v>
      </c>
      <c r="I35">
        <v>7</v>
      </c>
      <c r="J35">
        <v>1</v>
      </c>
      <c r="K35">
        <v>8</v>
      </c>
      <c r="L35">
        <v>0</v>
      </c>
      <c r="M35">
        <v>0</v>
      </c>
      <c r="N35">
        <v>2624</v>
      </c>
    </row>
    <row r="36" spans="1:14" x14ac:dyDescent="0.3">
      <c r="A36" s="2">
        <v>43886</v>
      </c>
      <c r="B36">
        <v>0</v>
      </c>
      <c r="C36">
        <v>0</v>
      </c>
      <c r="D36">
        <v>2665</v>
      </c>
      <c r="E36">
        <v>0</v>
      </c>
      <c r="F36">
        <v>1</v>
      </c>
      <c r="G36">
        <v>0</v>
      </c>
      <c r="H36">
        <v>16</v>
      </c>
      <c r="I36">
        <v>10</v>
      </c>
      <c r="J36">
        <v>1</v>
      </c>
      <c r="K36">
        <v>10</v>
      </c>
      <c r="L36">
        <v>0</v>
      </c>
      <c r="M36">
        <v>0</v>
      </c>
      <c r="N36">
        <v>2703</v>
      </c>
    </row>
    <row r="37" spans="1:14" x14ac:dyDescent="0.3">
      <c r="A37" s="2">
        <v>43887</v>
      </c>
      <c r="B37">
        <v>0</v>
      </c>
      <c r="C37">
        <v>0</v>
      </c>
      <c r="D37">
        <v>2717</v>
      </c>
      <c r="E37">
        <v>0</v>
      </c>
      <c r="F37">
        <v>2</v>
      </c>
      <c r="G37">
        <v>0</v>
      </c>
      <c r="H37">
        <v>19</v>
      </c>
      <c r="I37">
        <v>12</v>
      </c>
      <c r="J37">
        <v>2</v>
      </c>
      <c r="K37">
        <v>12</v>
      </c>
      <c r="L37">
        <v>0</v>
      </c>
      <c r="M37">
        <v>0</v>
      </c>
      <c r="N37">
        <v>2764</v>
      </c>
    </row>
    <row r="38" spans="1:14" x14ac:dyDescent="0.3">
      <c r="A38" s="2">
        <v>43888</v>
      </c>
      <c r="B38">
        <v>0</v>
      </c>
      <c r="C38">
        <v>0</v>
      </c>
      <c r="D38">
        <v>2746</v>
      </c>
      <c r="E38">
        <v>0</v>
      </c>
      <c r="F38">
        <v>2</v>
      </c>
      <c r="G38">
        <v>0</v>
      </c>
      <c r="H38">
        <v>26</v>
      </c>
      <c r="I38">
        <v>17</v>
      </c>
      <c r="J38">
        <v>4</v>
      </c>
      <c r="K38">
        <v>13</v>
      </c>
      <c r="L38">
        <v>0</v>
      </c>
      <c r="M38">
        <v>0</v>
      </c>
      <c r="N38">
        <v>2808</v>
      </c>
    </row>
    <row r="39" spans="1:14" x14ac:dyDescent="0.3">
      <c r="A39" s="2">
        <v>43889</v>
      </c>
      <c r="B39">
        <v>0</v>
      </c>
      <c r="C39">
        <v>0</v>
      </c>
      <c r="D39">
        <v>2790</v>
      </c>
      <c r="E39">
        <v>0</v>
      </c>
      <c r="F39">
        <v>2</v>
      </c>
      <c r="G39">
        <v>0</v>
      </c>
      <c r="H39">
        <v>34</v>
      </c>
      <c r="I39">
        <v>21</v>
      </c>
      <c r="J39">
        <v>4</v>
      </c>
      <c r="K39">
        <v>13</v>
      </c>
      <c r="L39">
        <v>0</v>
      </c>
      <c r="M39">
        <v>0</v>
      </c>
      <c r="N39">
        <v>2864</v>
      </c>
    </row>
    <row r="40" spans="1:14" x14ac:dyDescent="0.3">
      <c r="A40" s="2">
        <v>43890</v>
      </c>
      <c r="B40">
        <v>0</v>
      </c>
      <c r="C40">
        <v>0</v>
      </c>
      <c r="D40">
        <v>2837</v>
      </c>
      <c r="E40">
        <v>0</v>
      </c>
      <c r="F40">
        <v>2</v>
      </c>
      <c r="G40">
        <v>0</v>
      </c>
      <c r="H40">
        <v>43</v>
      </c>
      <c r="I40">
        <v>29</v>
      </c>
      <c r="J40">
        <v>5</v>
      </c>
      <c r="K40">
        <v>16</v>
      </c>
      <c r="L40">
        <v>1</v>
      </c>
      <c r="M40">
        <v>0</v>
      </c>
      <c r="N40">
        <v>2933</v>
      </c>
    </row>
    <row r="41" spans="1:14" x14ac:dyDescent="0.3">
      <c r="A41" s="2">
        <v>43891</v>
      </c>
      <c r="B41">
        <v>1</v>
      </c>
      <c r="C41">
        <v>0</v>
      </c>
      <c r="D41">
        <v>2872</v>
      </c>
      <c r="E41">
        <v>0</v>
      </c>
      <c r="F41">
        <v>2</v>
      </c>
      <c r="G41">
        <v>0</v>
      </c>
      <c r="H41">
        <v>54</v>
      </c>
      <c r="I41">
        <v>34</v>
      </c>
      <c r="J41">
        <v>6</v>
      </c>
      <c r="K41">
        <v>17</v>
      </c>
      <c r="L41">
        <v>1</v>
      </c>
      <c r="M41">
        <v>0</v>
      </c>
      <c r="N41">
        <v>2987</v>
      </c>
    </row>
    <row r="42" spans="1:14" x14ac:dyDescent="0.3">
      <c r="A42" s="2">
        <v>43892</v>
      </c>
      <c r="B42">
        <v>1</v>
      </c>
      <c r="C42">
        <v>0</v>
      </c>
      <c r="D42">
        <v>2914</v>
      </c>
      <c r="E42">
        <v>0</v>
      </c>
      <c r="F42">
        <v>3</v>
      </c>
      <c r="G42">
        <v>0</v>
      </c>
      <c r="H42">
        <v>66</v>
      </c>
      <c r="I42">
        <v>52</v>
      </c>
      <c r="J42">
        <v>6</v>
      </c>
      <c r="K42">
        <v>28</v>
      </c>
      <c r="L42">
        <v>6</v>
      </c>
      <c r="M42">
        <v>0</v>
      </c>
      <c r="N42">
        <v>3076</v>
      </c>
    </row>
    <row r="43" spans="1:14" x14ac:dyDescent="0.3">
      <c r="A43" s="2">
        <v>43893</v>
      </c>
      <c r="B43">
        <v>1</v>
      </c>
      <c r="C43">
        <v>0</v>
      </c>
      <c r="D43">
        <v>2947</v>
      </c>
      <c r="E43">
        <v>0</v>
      </c>
      <c r="F43">
        <v>4</v>
      </c>
      <c r="G43">
        <v>0</v>
      </c>
      <c r="H43">
        <v>77</v>
      </c>
      <c r="I43">
        <v>79</v>
      </c>
      <c r="J43">
        <v>6</v>
      </c>
      <c r="K43">
        <v>28</v>
      </c>
      <c r="L43">
        <v>7</v>
      </c>
      <c r="M43">
        <v>0</v>
      </c>
      <c r="N43">
        <v>3149</v>
      </c>
    </row>
    <row r="44" spans="1:14" x14ac:dyDescent="0.3">
      <c r="A44" s="2">
        <v>43894</v>
      </c>
      <c r="B44">
        <v>2</v>
      </c>
      <c r="C44">
        <v>0</v>
      </c>
      <c r="D44">
        <v>2983</v>
      </c>
      <c r="E44">
        <v>0</v>
      </c>
      <c r="F44">
        <v>4</v>
      </c>
      <c r="G44">
        <v>0</v>
      </c>
      <c r="H44">
        <v>92</v>
      </c>
      <c r="I44">
        <v>107</v>
      </c>
      <c r="J44">
        <v>6</v>
      </c>
      <c r="K44">
        <v>35</v>
      </c>
      <c r="L44">
        <v>11</v>
      </c>
      <c r="M44">
        <v>0</v>
      </c>
      <c r="N44">
        <v>3240</v>
      </c>
    </row>
    <row r="45" spans="1:14" x14ac:dyDescent="0.3">
      <c r="A45" s="2">
        <v>43895</v>
      </c>
      <c r="B45">
        <v>2</v>
      </c>
      <c r="C45">
        <v>0</v>
      </c>
      <c r="D45">
        <v>3015</v>
      </c>
      <c r="E45">
        <v>0</v>
      </c>
      <c r="F45">
        <v>6</v>
      </c>
      <c r="G45">
        <v>0</v>
      </c>
      <c r="H45">
        <v>107</v>
      </c>
      <c r="I45">
        <v>148</v>
      </c>
      <c r="J45">
        <v>6</v>
      </c>
      <c r="K45">
        <v>35</v>
      </c>
      <c r="L45">
        <v>12</v>
      </c>
      <c r="M45">
        <v>1</v>
      </c>
      <c r="N45">
        <v>3332</v>
      </c>
    </row>
    <row r="46" spans="1:14" x14ac:dyDescent="0.3">
      <c r="A46" s="2">
        <v>43896</v>
      </c>
      <c r="B46">
        <v>2</v>
      </c>
      <c r="C46">
        <v>0</v>
      </c>
      <c r="D46">
        <v>3044</v>
      </c>
      <c r="E46">
        <v>0</v>
      </c>
      <c r="F46">
        <v>9</v>
      </c>
      <c r="G46">
        <v>0</v>
      </c>
      <c r="H46">
        <v>124</v>
      </c>
      <c r="I46">
        <v>197</v>
      </c>
      <c r="J46">
        <v>6</v>
      </c>
      <c r="K46">
        <v>42</v>
      </c>
      <c r="L46">
        <v>14</v>
      </c>
      <c r="M46">
        <v>2</v>
      </c>
      <c r="N46">
        <v>3440</v>
      </c>
    </row>
    <row r="47" spans="1:14" x14ac:dyDescent="0.3">
      <c r="A47" s="2">
        <v>43897</v>
      </c>
      <c r="B47">
        <v>2</v>
      </c>
      <c r="C47">
        <v>0</v>
      </c>
      <c r="D47">
        <v>3072</v>
      </c>
      <c r="E47">
        <v>0</v>
      </c>
      <c r="F47">
        <v>11</v>
      </c>
      <c r="G47">
        <v>0</v>
      </c>
      <c r="H47">
        <v>145</v>
      </c>
      <c r="I47">
        <v>233</v>
      </c>
      <c r="J47">
        <v>6</v>
      </c>
      <c r="K47">
        <v>44</v>
      </c>
      <c r="L47">
        <v>17</v>
      </c>
      <c r="M47">
        <v>2</v>
      </c>
      <c r="N47">
        <v>3532</v>
      </c>
    </row>
    <row r="48" spans="1:14" x14ac:dyDescent="0.3">
      <c r="A48" s="2">
        <v>43898</v>
      </c>
      <c r="B48">
        <v>3</v>
      </c>
      <c r="C48">
        <v>0</v>
      </c>
      <c r="D48">
        <v>3100</v>
      </c>
      <c r="E48">
        <v>0</v>
      </c>
      <c r="F48">
        <v>19</v>
      </c>
      <c r="G48">
        <v>0</v>
      </c>
      <c r="H48">
        <v>194</v>
      </c>
      <c r="I48">
        <v>366</v>
      </c>
      <c r="J48">
        <v>6</v>
      </c>
      <c r="K48">
        <v>50</v>
      </c>
      <c r="L48">
        <v>21</v>
      </c>
      <c r="M48">
        <v>3</v>
      </c>
      <c r="N48">
        <v>3762</v>
      </c>
    </row>
    <row r="49" spans="1:14" x14ac:dyDescent="0.3">
      <c r="A49" s="2">
        <v>43899</v>
      </c>
      <c r="B49">
        <v>3</v>
      </c>
      <c r="C49">
        <v>1</v>
      </c>
      <c r="D49">
        <v>3123</v>
      </c>
      <c r="E49">
        <v>0</v>
      </c>
      <c r="F49">
        <v>19</v>
      </c>
      <c r="G49">
        <v>2</v>
      </c>
      <c r="H49">
        <v>237</v>
      </c>
      <c r="I49">
        <v>463</v>
      </c>
      <c r="J49">
        <v>10</v>
      </c>
      <c r="K49">
        <v>53</v>
      </c>
      <c r="L49">
        <v>22</v>
      </c>
      <c r="M49">
        <v>4</v>
      </c>
      <c r="N49">
        <v>3937</v>
      </c>
    </row>
    <row r="50" spans="1:14" x14ac:dyDescent="0.3">
      <c r="A50" s="2">
        <v>43900</v>
      </c>
      <c r="B50">
        <v>3</v>
      </c>
      <c r="C50">
        <v>1</v>
      </c>
      <c r="D50">
        <v>3139</v>
      </c>
      <c r="E50">
        <v>0</v>
      </c>
      <c r="F50">
        <v>33</v>
      </c>
      <c r="G50">
        <v>2</v>
      </c>
      <c r="H50">
        <v>291</v>
      </c>
      <c r="I50">
        <v>631</v>
      </c>
      <c r="J50">
        <v>10</v>
      </c>
      <c r="K50">
        <v>54</v>
      </c>
      <c r="L50">
        <v>28</v>
      </c>
      <c r="M50">
        <v>6</v>
      </c>
      <c r="N50">
        <v>4198</v>
      </c>
    </row>
    <row r="51" spans="1:14" x14ac:dyDescent="0.3">
      <c r="A51" s="2">
        <v>43901</v>
      </c>
      <c r="B51">
        <v>3</v>
      </c>
      <c r="C51">
        <v>1</v>
      </c>
      <c r="D51">
        <v>3161</v>
      </c>
      <c r="E51">
        <v>0</v>
      </c>
      <c r="F51">
        <v>48</v>
      </c>
      <c r="G51">
        <v>3</v>
      </c>
      <c r="H51">
        <v>354</v>
      </c>
      <c r="I51">
        <v>827</v>
      </c>
      <c r="J51">
        <v>15</v>
      </c>
      <c r="K51">
        <v>60</v>
      </c>
      <c r="L51">
        <v>36</v>
      </c>
      <c r="M51">
        <v>8</v>
      </c>
      <c r="N51">
        <v>4516</v>
      </c>
    </row>
    <row r="52" spans="1:14" x14ac:dyDescent="0.3">
      <c r="A52" s="2">
        <v>43902</v>
      </c>
      <c r="B52">
        <v>3</v>
      </c>
      <c r="C52">
        <v>1</v>
      </c>
      <c r="D52">
        <v>3172</v>
      </c>
      <c r="E52">
        <v>0</v>
      </c>
      <c r="F52">
        <v>48</v>
      </c>
      <c r="G52">
        <v>3</v>
      </c>
      <c r="H52">
        <v>429</v>
      </c>
      <c r="I52">
        <v>827</v>
      </c>
      <c r="J52">
        <v>16</v>
      </c>
      <c r="K52">
        <v>66</v>
      </c>
      <c r="L52">
        <v>40</v>
      </c>
      <c r="M52">
        <v>8</v>
      </c>
      <c r="N52">
        <v>4613</v>
      </c>
    </row>
    <row r="53" spans="1:14" x14ac:dyDescent="0.3">
      <c r="A53" s="2">
        <v>43903</v>
      </c>
      <c r="B53">
        <v>3</v>
      </c>
      <c r="C53">
        <v>1</v>
      </c>
      <c r="D53">
        <v>3180</v>
      </c>
      <c r="E53">
        <v>0</v>
      </c>
      <c r="F53">
        <v>79</v>
      </c>
      <c r="G53">
        <v>7</v>
      </c>
      <c r="H53">
        <v>514</v>
      </c>
      <c r="I53">
        <v>1266</v>
      </c>
      <c r="J53">
        <v>19</v>
      </c>
      <c r="K53">
        <v>66</v>
      </c>
      <c r="L53">
        <v>47</v>
      </c>
      <c r="M53">
        <v>8</v>
      </c>
      <c r="N53">
        <v>5190</v>
      </c>
    </row>
    <row r="54" spans="1:14" x14ac:dyDescent="0.3">
      <c r="A54" s="2">
        <v>43904</v>
      </c>
      <c r="B54">
        <v>3</v>
      </c>
      <c r="C54">
        <v>1</v>
      </c>
      <c r="D54">
        <v>3193</v>
      </c>
      <c r="E54">
        <v>1</v>
      </c>
      <c r="F54">
        <v>91</v>
      </c>
      <c r="G54">
        <v>9</v>
      </c>
      <c r="H54">
        <v>611</v>
      </c>
      <c r="I54">
        <v>1441</v>
      </c>
      <c r="J54">
        <v>22</v>
      </c>
      <c r="K54">
        <v>72</v>
      </c>
      <c r="L54">
        <v>54</v>
      </c>
      <c r="M54">
        <v>21</v>
      </c>
      <c r="N54">
        <v>5519</v>
      </c>
    </row>
    <row r="55" spans="1:14" x14ac:dyDescent="0.3">
      <c r="A55" s="2">
        <v>43905</v>
      </c>
      <c r="B55">
        <v>3</v>
      </c>
      <c r="C55">
        <v>1</v>
      </c>
      <c r="D55">
        <v>3203</v>
      </c>
      <c r="E55">
        <v>2</v>
      </c>
      <c r="F55">
        <v>91</v>
      </c>
      <c r="G55">
        <v>11</v>
      </c>
      <c r="H55">
        <v>724</v>
      </c>
      <c r="I55">
        <v>1809</v>
      </c>
      <c r="J55">
        <v>22</v>
      </c>
      <c r="K55">
        <v>75</v>
      </c>
      <c r="L55">
        <v>63</v>
      </c>
      <c r="M55">
        <v>21</v>
      </c>
      <c r="N55">
        <v>6025</v>
      </c>
    </row>
    <row r="56" spans="1:14" x14ac:dyDescent="0.3">
      <c r="A56" s="2">
        <v>43906</v>
      </c>
      <c r="B56">
        <v>3</v>
      </c>
      <c r="C56">
        <v>4</v>
      </c>
      <c r="D56">
        <v>3217</v>
      </c>
      <c r="E56">
        <v>3</v>
      </c>
      <c r="F56">
        <v>149</v>
      </c>
      <c r="G56">
        <v>17</v>
      </c>
      <c r="H56">
        <v>853</v>
      </c>
      <c r="I56">
        <v>2158</v>
      </c>
      <c r="J56">
        <v>27</v>
      </c>
      <c r="K56">
        <v>75</v>
      </c>
      <c r="L56">
        <v>85</v>
      </c>
      <c r="M56">
        <v>56</v>
      </c>
      <c r="N56">
        <v>6647</v>
      </c>
    </row>
    <row r="57" spans="1:14" x14ac:dyDescent="0.3">
      <c r="A57" s="2">
        <v>43907</v>
      </c>
      <c r="B57">
        <v>5</v>
      </c>
      <c r="C57">
        <v>5</v>
      </c>
      <c r="D57">
        <v>3230</v>
      </c>
      <c r="E57">
        <v>4</v>
      </c>
      <c r="F57">
        <v>149</v>
      </c>
      <c r="G57">
        <v>24</v>
      </c>
      <c r="H57">
        <v>988</v>
      </c>
      <c r="I57">
        <v>2503</v>
      </c>
      <c r="J57">
        <v>29</v>
      </c>
      <c r="K57">
        <v>81</v>
      </c>
      <c r="L57">
        <v>108</v>
      </c>
      <c r="M57">
        <v>56</v>
      </c>
      <c r="N57">
        <v>7182</v>
      </c>
    </row>
    <row r="58" spans="1:14" x14ac:dyDescent="0.3">
      <c r="A58" s="2">
        <v>43908</v>
      </c>
      <c r="B58">
        <v>6</v>
      </c>
      <c r="C58">
        <v>8</v>
      </c>
      <c r="D58">
        <v>3241</v>
      </c>
      <c r="E58">
        <v>4</v>
      </c>
      <c r="F58">
        <v>149</v>
      </c>
      <c r="G58">
        <v>28</v>
      </c>
      <c r="H58">
        <v>1135</v>
      </c>
      <c r="I58">
        <v>2978</v>
      </c>
      <c r="J58">
        <v>29</v>
      </c>
      <c r="K58">
        <v>84</v>
      </c>
      <c r="L58">
        <v>118</v>
      </c>
      <c r="M58">
        <v>72</v>
      </c>
      <c r="N58">
        <v>7852</v>
      </c>
    </row>
    <row r="59" spans="1:14" x14ac:dyDescent="0.3">
      <c r="A59" s="2">
        <v>43909</v>
      </c>
      <c r="B59">
        <v>6</v>
      </c>
      <c r="C59">
        <v>9</v>
      </c>
      <c r="D59">
        <v>3249</v>
      </c>
      <c r="E59">
        <v>6</v>
      </c>
      <c r="F59">
        <v>244</v>
      </c>
      <c r="G59">
        <v>44</v>
      </c>
      <c r="H59">
        <v>1284</v>
      </c>
      <c r="I59">
        <v>3405</v>
      </c>
      <c r="J59">
        <v>29</v>
      </c>
      <c r="K59">
        <v>91</v>
      </c>
      <c r="L59">
        <v>200</v>
      </c>
      <c r="M59">
        <v>138</v>
      </c>
      <c r="N59">
        <v>8705</v>
      </c>
    </row>
    <row r="60" spans="1:14" x14ac:dyDescent="0.3">
      <c r="A60" s="2">
        <v>43910</v>
      </c>
      <c r="B60">
        <v>7</v>
      </c>
      <c r="C60">
        <v>12</v>
      </c>
      <c r="D60">
        <v>3253</v>
      </c>
      <c r="E60">
        <v>9</v>
      </c>
      <c r="F60">
        <v>451</v>
      </c>
      <c r="G60">
        <v>67</v>
      </c>
      <c r="H60">
        <v>1433</v>
      </c>
      <c r="I60">
        <v>4032</v>
      </c>
      <c r="J60">
        <v>33</v>
      </c>
      <c r="K60">
        <v>94</v>
      </c>
      <c r="L60">
        <v>244</v>
      </c>
      <c r="M60">
        <v>178</v>
      </c>
      <c r="N60">
        <v>9813</v>
      </c>
    </row>
    <row r="61" spans="1:14" x14ac:dyDescent="0.3">
      <c r="A61" s="2">
        <v>43911</v>
      </c>
      <c r="B61">
        <v>7</v>
      </c>
      <c r="C61">
        <v>19</v>
      </c>
      <c r="D61">
        <v>3259</v>
      </c>
      <c r="E61">
        <v>13</v>
      </c>
      <c r="F61">
        <v>563</v>
      </c>
      <c r="G61">
        <v>84</v>
      </c>
      <c r="H61">
        <v>1556</v>
      </c>
      <c r="I61">
        <v>4825</v>
      </c>
      <c r="J61">
        <v>35</v>
      </c>
      <c r="K61">
        <v>102</v>
      </c>
      <c r="L61">
        <v>307</v>
      </c>
      <c r="M61">
        <v>234</v>
      </c>
      <c r="N61">
        <v>11004</v>
      </c>
    </row>
    <row r="62" spans="1:14" x14ac:dyDescent="0.3">
      <c r="A62" s="2">
        <v>43912</v>
      </c>
      <c r="B62">
        <v>7</v>
      </c>
      <c r="C62">
        <v>21</v>
      </c>
      <c r="D62">
        <v>3274</v>
      </c>
      <c r="E62">
        <v>13</v>
      </c>
      <c r="F62">
        <v>676</v>
      </c>
      <c r="G62">
        <v>94</v>
      </c>
      <c r="H62">
        <v>1685</v>
      </c>
      <c r="I62">
        <v>5476</v>
      </c>
      <c r="J62">
        <v>41</v>
      </c>
      <c r="K62">
        <v>111</v>
      </c>
      <c r="L62">
        <v>417</v>
      </c>
      <c r="M62">
        <v>282</v>
      </c>
      <c r="N62">
        <v>12097</v>
      </c>
    </row>
    <row r="63" spans="1:14" x14ac:dyDescent="0.3">
      <c r="A63" s="2">
        <v>43913</v>
      </c>
      <c r="B63">
        <v>7</v>
      </c>
      <c r="C63">
        <v>25</v>
      </c>
      <c r="D63">
        <v>3274</v>
      </c>
      <c r="E63">
        <v>24</v>
      </c>
      <c r="F63">
        <v>862</v>
      </c>
      <c r="G63">
        <v>123</v>
      </c>
      <c r="H63">
        <v>1812</v>
      </c>
      <c r="I63">
        <v>6077</v>
      </c>
      <c r="J63">
        <v>42</v>
      </c>
      <c r="K63">
        <v>111</v>
      </c>
      <c r="L63">
        <v>557</v>
      </c>
      <c r="M63">
        <v>336</v>
      </c>
      <c r="N63">
        <v>13250</v>
      </c>
    </row>
    <row r="64" spans="1:14" x14ac:dyDescent="0.3">
      <c r="A64" s="2">
        <v>43914</v>
      </c>
      <c r="B64">
        <v>8</v>
      </c>
      <c r="C64">
        <v>26</v>
      </c>
      <c r="D64">
        <v>3281</v>
      </c>
      <c r="E64">
        <v>32</v>
      </c>
      <c r="F64">
        <v>1102</v>
      </c>
      <c r="G64">
        <v>157</v>
      </c>
      <c r="H64">
        <v>1934</v>
      </c>
      <c r="I64">
        <v>6820</v>
      </c>
      <c r="J64">
        <v>43</v>
      </c>
      <c r="K64">
        <v>120</v>
      </c>
      <c r="L64">
        <v>706</v>
      </c>
      <c r="M64">
        <v>423</v>
      </c>
      <c r="N64">
        <v>14652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A29B1-EFE7-44E8-8763-02E2D72E4ED6}">
  <sheetPr codeName="Sheet11"/>
  <dimension ref="A1:BL13"/>
  <sheetViews>
    <sheetView workbookViewId="0">
      <selection sqref="A1:BJ12"/>
    </sheetView>
  </sheetViews>
  <sheetFormatPr defaultRowHeight="14.4" x14ac:dyDescent="0.3"/>
  <cols>
    <col min="1" max="1" width="16.77734375" bestFit="1" customWidth="1"/>
    <col min="2" max="11" width="10" bestFit="1" customWidth="1"/>
    <col min="12" max="20" width="9" bestFit="1" customWidth="1"/>
    <col min="21" max="40" width="10" bestFit="1" customWidth="1"/>
    <col min="41" max="49" width="9" bestFit="1" customWidth="1"/>
    <col min="50" max="58" width="10" bestFit="1" customWidth="1"/>
    <col min="59" max="64" width="10" customWidth="1"/>
  </cols>
  <sheetData>
    <row r="1" spans="1:64" x14ac:dyDescent="0.3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192</v>
      </c>
      <c r="AQ1" t="s">
        <v>193</v>
      </c>
      <c r="AR1" t="s">
        <v>194</v>
      </c>
      <c r="AS1" t="s">
        <v>195</v>
      </c>
      <c r="AT1" t="s">
        <v>196</v>
      </c>
      <c r="AU1" t="s">
        <v>197</v>
      </c>
      <c r="AV1" t="s">
        <v>198</v>
      </c>
      <c r="AW1" t="s">
        <v>199</v>
      </c>
      <c r="AX1" t="s">
        <v>200</v>
      </c>
      <c r="AY1" t="s">
        <v>201</v>
      </c>
      <c r="AZ1" t="s">
        <v>277</v>
      </c>
      <c r="BA1" t="s">
        <v>278</v>
      </c>
      <c r="BB1" t="s">
        <v>279</v>
      </c>
      <c r="BC1" t="s">
        <v>307</v>
      </c>
      <c r="BD1" t="s">
        <v>315</v>
      </c>
      <c r="BE1" t="s">
        <v>410</v>
      </c>
      <c r="BF1" t="s">
        <v>413</v>
      </c>
      <c r="BG1" t="s">
        <v>649</v>
      </c>
      <c r="BH1" t="s">
        <v>652</v>
      </c>
      <c r="BI1" t="s">
        <v>654</v>
      </c>
      <c r="BJ1" t="s">
        <v>656</v>
      </c>
      <c r="BK1" t="s">
        <v>667</v>
      </c>
      <c r="BL1" t="s">
        <v>669</v>
      </c>
    </row>
    <row r="2" spans="1:64" x14ac:dyDescent="0.3">
      <c r="A2" s="1" t="s">
        <v>42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1</v>
      </c>
      <c r="AP2">
        <v>1</v>
      </c>
      <c r="AQ2">
        <v>1</v>
      </c>
      <c r="AR2">
        <v>2</v>
      </c>
      <c r="AS2">
        <v>2</v>
      </c>
      <c r="AT2">
        <v>2</v>
      </c>
      <c r="AU2">
        <v>2</v>
      </c>
      <c r="AV2">
        <v>3</v>
      </c>
      <c r="AW2">
        <v>3</v>
      </c>
      <c r="AX2">
        <v>3</v>
      </c>
      <c r="AY2">
        <v>3</v>
      </c>
      <c r="AZ2">
        <v>3</v>
      </c>
      <c r="BA2">
        <v>3</v>
      </c>
      <c r="BB2">
        <v>3</v>
      </c>
      <c r="BC2">
        <v>3</v>
      </c>
      <c r="BD2">
        <v>3</v>
      </c>
      <c r="BE2">
        <v>5</v>
      </c>
      <c r="BF2">
        <v>6</v>
      </c>
      <c r="BG2">
        <v>6</v>
      </c>
      <c r="BH2">
        <v>7</v>
      </c>
      <c r="BI2">
        <v>7</v>
      </c>
      <c r="BJ2">
        <v>7</v>
      </c>
      <c r="BK2">
        <v>7</v>
      </c>
      <c r="BL2">
        <v>8</v>
      </c>
    </row>
    <row r="3" spans="1:64" x14ac:dyDescent="0.3">
      <c r="A3" s="1" t="s">
        <v>43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4</v>
      </c>
      <c r="BE3">
        <v>5</v>
      </c>
      <c r="BF3">
        <v>8</v>
      </c>
      <c r="BG3">
        <v>9</v>
      </c>
      <c r="BH3">
        <v>12</v>
      </c>
      <c r="BI3">
        <v>19</v>
      </c>
      <c r="BJ3">
        <v>21</v>
      </c>
      <c r="BK3">
        <v>25</v>
      </c>
      <c r="BL3">
        <v>26</v>
      </c>
    </row>
    <row r="4" spans="1:64" x14ac:dyDescent="0.3">
      <c r="A4" s="1" t="s">
        <v>202</v>
      </c>
      <c r="B4">
        <v>17</v>
      </c>
      <c r="C4">
        <v>18</v>
      </c>
      <c r="D4">
        <v>26</v>
      </c>
      <c r="E4">
        <v>42</v>
      </c>
      <c r="F4">
        <v>56</v>
      </c>
      <c r="G4">
        <v>82</v>
      </c>
      <c r="H4">
        <v>131</v>
      </c>
      <c r="I4">
        <v>133</v>
      </c>
      <c r="J4">
        <v>171</v>
      </c>
      <c r="K4">
        <v>213</v>
      </c>
      <c r="L4">
        <v>259</v>
      </c>
      <c r="M4">
        <v>361</v>
      </c>
      <c r="N4">
        <v>425</v>
      </c>
      <c r="O4">
        <v>491</v>
      </c>
      <c r="P4">
        <v>563</v>
      </c>
      <c r="Q4">
        <v>633</v>
      </c>
      <c r="R4">
        <v>718</v>
      </c>
      <c r="S4">
        <v>805</v>
      </c>
      <c r="T4">
        <v>905</v>
      </c>
      <c r="U4">
        <v>1012</v>
      </c>
      <c r="V4">
        <v>1112</v>
      </c>
      <c r="W4">
        <v>1117</v>
      </c>
      <c r="X4">
        <v>1369</v>
      </c>
      <c r="Y4">
        <v>1521</v>
      </c>
      <c r="Z4">
        <v>1663</v>
      </c>
      <c r="AA4">
        <v>1766</v>
      </c>
      <c r="AB4">
        <v>1864</v>
      </c>
      <c r="AC4">
        <v>2003</v>
      </c>
      <c r="AD4">
        <v>2116</v>
      </c>
      <c r="AE4">
        <v>2238</v>
      </c>
      <c r="AF4">
        <v>2238</v>
      </c>
      <c r="AG4">
        <v>2443</v>
      </c>
      <c r="AH4">
        <v>2445</v>
      </c>
      <c r="AI4">
        <v>2595</v>
      </c>
      <c r="AJ4">
        <v>2665</v>
      </c>
      <c r="AK4">
        <v>2717</v>
      </c>
      <c r="AL4">
        <v>2746</v>
      </c>
      <c r="AM4">
        <v>2790</v>
      </c>
      <c r="AN4">
        <v>2837</v>
      </c>
      <c r="AO4">
        <v>2872</v>
      </c>
      <c r="AP4">
        <v>2914</v>
      </c>
      <c r="AQ4">
        <v>2947</v>
      </c>
      <c r="AR4">
        <v>2983</v>
      </c>
      <c r="AS4">
        <v>3015</v>
      </c>
      <c r="AT4">
        <v>3044</v>
      </c>
      <c r="AU4">
        <v>3072</v>
      </c>
      <c r="AV4">
        <v>3100</v>
      </c>
      <c r="AW4">
        <v>3123</v>
      </c>
      <c r="AX4">
        <v>3139</v>
      </c>
      <c r="AY4">
        <v>3161</v>
      </c>
      <c r="AZ4">
        <v>3172</v>
      </c>
      <c r="BA4">
        <v>3180</v>
      </c>
      <c r="BB4">
        <v>3193</v>
      </c>
      <c r="BC4">
        <v>3203</v>
      </c>
      <c r="BD4">
        <v>3217</v>
      </c>
      <c r="BE4">
        <v>3230</v>
      </c>
      <c r="BF4">
        <v>3241</v>
      </c>
      <c r="BG4">
        <v>3249</v>
      </c>
      <c r="BH4">
        <v>3253</v>
      </c>
      <c r="BI4">
        <v>3259</v>
      </c>
      <c r="BJ4">
        <v>3274</v>
      </c>
      <c r="BK4">
        <v>3274</v>
      </c>
      <c r="BL4">
        <v>3281</v>
      </c>
    </row>
    <row r="5" spans="1:64" x14ac:dyDescent="0.3">
      <c r="A5" s="1" t="s">
        <v>79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</v>
      </c>
      <c r="BC5">
        <v>2</v>
      </c>
      <c r="BD5">
        <v>3</v>
      </c>
      <c r="BE5">
        <v>4</v>
      </c>
      <c r="BF5">
        <v>4</v>
      </c>
      <c r="BG5">
        <v>6</v>
      </c>
      <c r="BH5">
        <v>9</v>
      </c>
      <c r="BI5">
        <v>13</v>
      </c>
      <c r="BJ5">
        <v>13</v>
      </c>
      <c r="BK5">
        <v>24</v>
      </c>
      <c r="BL5">
        <v>32</v>
      </c>
    </row>
    <row r="6" spans="1:64" x14ac:dyDescent="0.3">
      <c r="A6" s="1" t="s">
        <v>36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2</v>
      </c>
      <c r="AL6">
        <v>2</v>
      </c>
      <c r="AM6">
        <v>2</v>
      </c>
      <c r="AN6">
        <v>2</v>
      </c>
      <c r="AO6">
        <v>2</v>
      </c>
      <c r="AP6">
        <v>3</v>
      </c>
      <c r="AQ6">
        <v>4</v>
      </c>
      <c r="AR6">
        <v>4</v>
      </c>
      <c r="AS6">
        <v>6</v>
      </c>
      <c r="AT6">
        <v>9</v>
      </c>
      <c r="AU6">
        <v>11</v>
      </c>
      <c r="AV6">
        <v>19</v>
      </c>
      <c r="AW6">
        <v>19</v>
      </c>
      <c r="AX6">
        <v>33</v>
      </c>
      <c r="AY6">
        <v>48</v>
      </c>
      <c r="AZ6">
        <v>48</v>
      </c>
      <c r="BA6">
        <v>79</v>
      </c>
      <c r="BB6">
        <v>91</v>
      </c>
      <c r="BC6">
        <v>91</v>
      </c>
      <c r="BD6">
        <v>149</v>
      </c>
      <c r="BE6">
        <v>149</v>
      </c>
      <c r="BF6">
        <v>149</v>
      </c>
      <c r="BG6">
        <v>244</v>
      </c>
      <c r="BH6">
        <v>451</v>
      </c>
      <c r="BI6">
        <v>563</v>
      </c>
      <c r="BJ6">
        <v>676</v>
      </c>
      <c r="BK6">
        <v>862</v>
      </c>
      <c r="BL6">
        <v>1102</v>
      </c>
    </row>
    <row r="7" spans="1:64" x14ac:dyDescent="0.3">
      <c r="A7" s="1" t="s">
        <v>46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2</v>
      </c>
      <c r="AX7">
        <v>2</v>
      </c>
      <c r="AY7">
        <v>3</v>
      </c>
      <c r="AZ7">
        <v>3</v>
      </c>
      <c r="BA7">
        <v>7</v>
      </c>
      <c r="BB7">
        <v>9</v>
      </c>
      <c r="BC7">
        <v>11</v>
      </c>
      <c r="BD7">
        <v>17</v>
      </c>
      <c r="BE7">
        <v>24</v>
      </c>
      <c r="BF7">
        <v>28</v>
      </c>
      <c r="BG7">
        <v>44</v>
      </c>
      <c r="BH7">
        <v>67</v>
      </c>
      <c r="BI7">
        <v>84</v>
      </c>
      <c r="BJ7">
        <v>94</v>
      </c>
      <c r="BK7">
        <v>123</v>
      </c>
      <c r="BL7">
        <v>157</v>
      </c>
    </row>
    <row r="8" spans="1:64" x14ac:dyDescent="0.3">
      <c r="A8" s="1" t="s">
        <v>203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2</v>
      </c>
      <c r="AE8">
        <v>2</v>
      </c>
      <c r="AF8">
        <v>4</v>
      </c>
      <c r="AG8">
        <v>5</v>
      </c>
      <c r="AH8">
        <v>8</v>
      </c>
      <c r="AI8">
        <v>12</v>
      </c>
      <c r="AJ8">
        <v>16</v>
      </c>
      <c r="AK8">
        <v>19</v>
      </c>
      <c r="AL8">
        <v>26</v>
      </c>
      <c r="AM8">
        <v>34</v>
      </c>
      <c r="AN8">
        <v>43</v>
      </c>
      <c r="AO8">
        <v>54</v>
      </c>
      <c r="AP8">
        <v>66</v>
      </c>
      <c r="AQ8">
        <v>77</v>
      </c>
      <c r="AR8">
        <v>92</v>
      </c>
      <c r="AS8">
        <v>107</v>
      </c>
      <c r="AT8">
        <v>124</v>
      </c>
      <c r="AU8">
        <v>145</v>
      </c>
      <c r="AV8">
        <v>194</v>
      </c>
      <c r="AW8">
        <v>237</v>
      </c>
      <c r="AX8">
        <v>291</v>
      </c>
      <c r="AY8">
        <v>354</v>
      </c>
      <c r="AZ8">
        <v>429</v>
      </c>
      <c r="BA8">
        <v>514</v>
      </c>
      <c r="BB8">
        <v>611</v>
      </c>
      <c r="BC8">
        <v>724</v>
      </c>
      <c r="BD8">
        <v>853</v>
      </c>
      <c r="BE8">
        <v>988</v>
      </c>
      <c r="BF8">
        <v>1135</v>
      </c>
      <c r="BG8">
        <v>1284</v>
      </c>
      <c r="BH8">
        <v>1433</v>
      </c>
      <c r="BI8">
        <v>1556</v>
      </c>
      <c r="BJ8">
        <v>1685</v>
      </c>
      <c r="BK8">
        <v>1812</v>
      </c>
      <c r="BL8">
        <v>1934</v>
      </c>
    </row>
    <row r="9" spans="1:64" x14ac:dyDescent="0.3">
      <c r="A9" s="1" t="s">
        <v>55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1</v>
      </c>
      <c r="AG9">
        <v>2</v>
      </c>
      <c r="AH9">
        <v>3</v>
      </c>
      <c r="AI9">
        <v>7</v>
      </c>
      <c r="AJ9">
        <v>10</v>
      </c>
      <c r="AK9">
        <v>12</v>
      </c>
      <c r="AL9">
        <v>17</v>
      </c>
      <c r="AM9">
        <v>21</v>
      </c>
      <c r="AN9">
        <v>29</v>
      </c>
      <c r="AO9">
        <v>34</v>
      </c>
      <c r="AP9">
        <v>52</v>
      </c>
      <c r="AQ9">
        <v>79</v>
      </c>
      <c r="AR9">
        <v>107</v>
      </c>
      <c r="AS9">
        <v>148</v>
      </c>
      <c r="AT9">
        <v>197</v>
      </c>
      <c r="AU9">
        <v>233</v>
      </c>
      <c r="AV9">
        <v>366</v>
      </c>
      <c r="AW9">
        <v>463</v>
      </c>
      <c r="AX9">
        <v>631</v>
      </c>
      <c r="AY9">
        <v>827</v>
      </c>
      <c r="AZ9">
        <v>827</v>
      </c>
      <c r="BA9">
        <v>1266</v>
      </c>
      <c r="BB9">
        <v>1441</v>
      </c>
      <c r="BC9">
        <v>1809</v>
      </c>
      <c r="BD9">
        <v>2158</v>
      </c>
      <c r="BE9">
        <v>2503</v>
      </c>
      <c r="BF9">
        <v>2978</v>
      </c>
      <c r="BG9">
        <v>3405</v>
      </c>
      <c r="BH9">
        <v>4032</v>
      </c>
      <c r="BI9">
        <v>4825</v>
      </c>
      <c r="BJ9">
        <v>5476</v>
      </c>
      <c r="BK9">
        <v>6077</v>
      </c>
      <c r="BL9">
        <v>6820</v>
      </c>
    </row>
    <row r="10" spans="1:64" x14ac:dyDescent="0.3">
      <c r="A10" s="1" t="s">
        <v>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2</v>
      </c>
      <c r="AL10">
        <v>4</v>
      </c>
      <c r="AM10">
        <v>4</v>
      </c>
      <c r="AN10">
        <v>5</v>
      </c>
      <c r="AO10">
        <v>6</v>
      </c>
      <c r="AP10">
        <v>6</v>
      </c>
      <c r="AQ10">
        <v>6</v>
      </c>
      <c r="AR10">
        <v>6</v>
      </c>
      <c r="AS10">
        <v>6</v>
      </c>
      <c r="AT10">
        <v>6</v>
      </c>
      <c r="AU10">
        <v>6</v>
      </c>
      <c r="AV10">
        <v>6</v>
      </c>
      <c r="AW10">
        <v>10</v>
      </c>
      <c r="AX10">
        <v>10</v>
      </c>
      <c r="AY10">
        <v>15</v>
      </c>
      <c r="AZ10">
        <v>16</v>
      </c>
      <c r="BA10">
        <v>19</v>
      </c>
      <c r="BB10">
        <v>22</v>
      </c>
      <c r="BC10">
        <v>22</v>
      </c>
      <c r="BD10">
        <v>27</v>
      </c>
      <c r="BE10">
        <v>29</v>
      </c>
      <c r="BF10">
        <v>29</v>
      </c>
      <c r="BG10">
        <v>29</v>
      </c>
      <c r="BH10">
        <v>33</v>
      </c>
      <c r="BI10">
        <v>35</v>
      </c>
      <c r="BJ10">
        <v>41</v>
      </c>
      <c r="BK10">
        <v>42</v>
      </c>
      <c r="BL10">
        <v>43</v>
      </c>
    </row>
    <row r="11" spans="1:64" x14ac:dyDescent="0.3">
      <c r="A11" s="1" t="s">
        <v>204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</v>
      </c>
      <c r="AF11">
        <v>2</v>
      </c>
      <c r="AG11">
        <v>2</v>
      </c>
      <c r="AH11">
        <v>6</v>
      </c>
      <c r="AI11">
        <v>8</v>
      </c>
      <c r="AJ11">
        <v>10</v>
      </c>
      <c r="AK11">
        <v>12</v>
      </c>
      <c r="AL11">
        <v>13</v>
      </c>
      <c r="AM11">
        <v>13</v>
      </c>
      <c r="AN11">
        <v>16</v>
      </c>
      <c r="AO11">
        <v>17</v>
      </c>
      <c r="AP11">
        <v>28</v>
      </c>
      <c r="AQ11">
        <v>28</v>
      </c>
      <c r="AR11">
        <v>35</v>
      </c>
      <c r="AS11">
        <v>35</v>
      </c>
      <c r="AT11">
        <v>42</v>
      </c>
      <c r="AU11">
        <v>44</v>
      </c>
      <c r="AV11">
        <v>50</v>
      </c>
      <c r="AW11">
        <v>53</v>
      </c>
      <c r="AX11">
        <v>54</v>
      </c>
      <c r="AY11">
        <v>60</v>
      </c>
      <c r="AZ11">
        <v>66</v>
      </c>
      <c r="BA11">
        <v>66</v>
      </c>
      <c r="BB11">
        <v>72</v>
      </c>
      <c r="BC11">
        <v>75</v>
      </c>
      <c r="BD11">
        <v>75</v>
      </c>
      <c r="BE11">
        <v>81</v>
      </c>
      <c r="BF11">
        <v>84</v>
      </c>
      <c r="BG11">
        <v>91</v>
      </c>
      <c r="BH11">
        <v>94</v>
      </c>
      <c r="BI11">
        <v>102</v>
      </c>
      <c r="BJ11">
        <v>111</v>
      </c>
      <c r="BK11">
        <v>111</v>
      </c>
      <c r="BL11">
        <v>120</v>
      </c>
    </row>
    <row r="12" spans="1:64" x14ac:dyDescent="0.3">
      <c r="A12" s="1" t="s">
        <v>205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2</v>
      </c>
      <c r="AU12">
        <v>2</v>
      </c>
      <c r="AV12">
        <v>3</v>
      </c>
      <c r="AW12">
        <v>4</v>
      </c>
      <c r="AX12">
        <v>6</v>
      </c>
      <c r="AY12">
        <v>8</v>
      </c>
      <c r="AZ12">
        <v>8</v>
      </c>
      <c r="BA12">
        <v>8</v>
      </c>
      <c r="BB12">
        <v>21</v>
      </c>
      <c r="BC12">
        <v>21</v>
      </c>
      <c r="BD12">
        <v>56</v>
      </c>
      <c r="BE12">
        <v>56</v>
      </c>
      <c r="BF12">
        <v>72</v>
      </c>
      <c r="BG12">
        <v>138</v>
      </c>
      <c r="BH12">
        <v>178</v>
      </c>
      <c r="BI12">
        <v>234</v>
      </c>
      <c r="BJ12">
        <v>282</v>
      </c>
      <c r="BK12">
        <v>336</v>
      </c>
      <c r="BL12">
        <v>423</v>
      </c>
    </row>
    <row r="13" spans="1:64" x14ac:dyDescent="0.3">
      <c r="A13" s="1" t="s">
        <v>18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6</v>
      </c>
      <c r="AQ13">
        <v>7</v>
      </c>
      <c r="AR13">
        <v>11</v>
      </c>
      <c r="AS13">
        <v>12</v>
      </c>
      <c r="AT13">
        <v>14</v>
      </c>
      <c r="AU13">
        <v>17</v>
      </c>
      <c r="AV13">
        <v>21</v>
      </c>
      <c r="AW13">
        <v>22</v>
      </c>
      <c r="AX13">
        <v>28</v>
      </c>
      <c r="AY13">
        <v>36</v>
      </c>
      <c r="AZ13">
        <v>40</v>
      </c>
      <c r="BA13">
        <v>47</v>
      </c>
      <c r="BB13">
        <v>54</v>
      </c>
      <c r="BC13">
        <v>63</v>
      </c>
      <c r="BD13">
        <v>85</v>
      </c>
      <c r="BE13">
        <v>108</v>
      </c>
      <c r="BF13">
        <v>118</v>
      </c>
      <c r="BG13">
        <v>200</v>
      </c>
      <c r="BH13">
        <v>244</v>
      </c>
      <c r="BI13">
        <v>307</v>
      </c>
      <c r="BJ13">
        <v>417</v>
      </c>
      <c r="BK13">
        <v>557</v>
      </c>
      <c r="BL13">
        <v>706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D932C-AB0B-43AD-B906-3C737CB8C1F7}">
  <sheetPr codeName="Sheet12"/>
  <dimension ref="A1:BO81"/>
  <sheetViews>
    <sheetView workbookViewId="0">
      <selection sqref="A1:BM325"/>
    </sheetView>
  </sheetViews>
  <sheetFormatPr defaultRowHeight="14.4" x14ac:dyDescent="0.3"/>
  <cols>
    <col min="1" max="1" width="24.5546875" bestFit="1" customWidth="1"/>
    <col min="2" max="2" width="16.77734375" bestFit="1" customWidth="1"/>
    <col min="3" max="3" width="8.6640625" bestFit="1" customWidth="1"/>
    <col min="4" max="4" width="9.6640625" bestFit="1" customWidth="1"/>
    <col min="5" max="14" width="10" bestFit="1" customWidth="1"/>
    <col min="15" max="23" width="9" bestFit="1" customWidth="1"/>
    <col min="24" max="43" width="10" bestFit="1" customWidth="1"/>
    <col min="44" max="52" width="9" bestFit="1" customWidth="1"/>
    <col min="53" max="61" width="10" bestFit="1" customWidth="1"/>
    <col min="62" max="67" width="10" customWidth="1"/>
  </cols>
  <sheetData>
    <row r="1" spans="1:67" x14ac:dyDescent="0.3">
      <c r="A1" t="s">
        <v>150</v>
      </c>
      <c r="B1" t="s">
        <v>151</v>
      </c>
      <c r="C1" t="s">
        <v>0</v>
      </c>
      <c r="D1" t="s">
        <v>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  <c r="P1" t="s">
        <v>163</v>
      </c>
      <c r="Q1" t="s">
        <v>164</v>
      </c>
      <c r="R1" t="s">
        <v>165</v>
      </c>
      <c r="S1" t="s">
        <v>166</v>
      </c>
      <c r="T1" t="s">
        <v>167</v>
      </c>
      <c r="U1" t="s">
        <v>168</v>
      </c>
      <c r="V1" t="s">
        <v>169</v>
      </c>
      <c r="W1" t="s">
        <v>170</v>
      </c>
      <c r="X1" t="s">
        <v>171</v>
      </c>
      <c r="Y1" t="s">
        <v>172</v>
      </c>
      <c r="Z1" t="s">
        <v>173</v>
      </c>
      <c r="AA1" t="s">
        <v>174</v>
      </c>
      <c r="AB1" t="s">
        <v>175</v>
      </c>
      <c r="AC1" t="s">
        <v>176</v>
      </c>
      <c r="AD1" t="s">
        <v>177</v>
      </c>
      <c r="AE1" t="s">
        <v>178</v>
      </c>
      <c r="AF1" t="s">
        <v>179</v>
      </c>
      <c r="AG1" t="s">
        <v>180</v>
      </c>
      <c r="AH1" t="s">
        <v>181</v>
      </c>
      <c r="AI1" t="s">
        <v>182</v>
      </c>
      <c r="AJ1" t="s">
        <v>183</v>
      </c>
      <c r="AK1" t="s">
        <v>184</v>
      </c>
      <c r="AL1" t="s">
        <v>185</v>
      </c>
      <c r="AM1" t="s">
        <v>186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277</v>
      </c>
      <c r="BD1" t="s">
        <v>278</v>
      </c>
      <c r="BE1" t="s">
        <v>279</v>
      </c>
      <c r="BF1" t="s">
        <v>307</v>
      </c>
      <c r="BG1" t="s">
        <v>315</v>
      </c>
      <c r="BH1" t="s">
        <v>410</v>
      </c>
      <c r="BI1" t="s">
        <v>413</v>
      </c>
      <c r="BJ1" t="s">
        <v>649</v>
      </c>
      <c r="BK1" t="s">
        <v>652</v>
      </c>
      <c r="BL1" t="s">
        <v>654</v>
      </c>
      <c r="BM1" t="s">
        <v>656</v>
      </c>
      <c r="BN1" t="s">
        <v>667</v>
      </c>
      <c r="BO1" t="s">
        <v>669</v>
      </c>
    </row>
    <row r="2" spans="1:67" x14ac:dyDescent="0.3">
      <c r="A2" s="1" t="s">
        <v>280</v>
      </c>
      <c r="B2" s="1" t="s">
        <v>42</v>
      </c>
      <c r="C2">
        <v>-35.473500000000001</v>
      </c>
      <c r="D2">
        <v>149.01240000000001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</row>
    <row r="3" spans="1:67" x14ac:dyDescent="0.3">
      <c r="A3" s="1" t="s">
        <v>41</v>
      </c>
      <c r="B3" s="1" t="s">
        <v>42</v>
      </c>
      <c r="C3">
        <v>-33.8688</v>
      </c>
      <c r="D3">
        <v>151.20930000000001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1</v>
      </c>
      <c r="AV3">
        <v>1</v>
      </c>
      <c r="AW3">
        <v>1</v>
      </c>
      <c r="AX3">
        <v>1</v>
      </c>
      <c r="AY3">
        <v>2</v>
      </c>
      <c r="AZ3">
        <v>2</v>
      </c>
      <c r="BA3">
        <v>2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4</v>
      </c>
      <c r="BI3">
        <v>5</v>
      </c>
      <c r="BJ3">
        <v>5</v>
      </c>
      <c r="BK3">
        <v>6</v>
      </c>
      <c r="BL3">
        <v>6</v>
      </c>
      <c r="BM3">
        <v>6</v>
      </c>
      <c r="BN3">
        <v>6</v>
      </c>
      <c r="BO3">
        <v>7</v>
      </c>
    </row>
    <row r="4" spans="1:67" x14ac:dyDescent="0.3">
      <c r="A4" s="1" t="s">
        <v>117</v>
      </c>
      <c r="B4" s="1" t="s">
        <v>42</v>
      </c>
      <c r="C4">
        <v>-12.4634</v>
      </c>
      <c r="D4">
        <v>130.84559999999999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</row>
    <row r="5" spans="1:67" x14ac:dyDescent="0.3">
      <c r="A5" s="1" t="s">
        <v>51</v>
      </c>
      <c r="B5" s="1" t="s">
        <v>42</v>
      </c>
      <c r="C5">
        <v>-28.0167</v>
      </c>
      <c r="D5">
        <v>153.4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</row>
    <row r="6" spans="1:67" x14ac:dyDescent="0.3">
      <c r="A6" s="1" t="s">
        <v>58</v>
      </c>
      <c r="B6" s="1" t="s">
        <v>42</v>
      </c>
      <c r="C6">
        <v>-34.9285</v>
      </c>
      <c r="D6">
        <v>138.60069999999999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</row>
    <row r="7" spans="1:67" x14ac:dyDescent="0.3">
      <c r="A7" s="1" t="s">
        <v>105</v>
      </c>
      <c r="B7" s="1" t="s">
        <v>42</v>
      </c>
      <c r="C7">
        <v>-41.454500000000003</v>
      </c>
      <c r="D7">
        <v>145.97069999999999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</row>
    <row r="8" spans="1:67" x14ac:dyDescent="0.3">
      <c r="A8" s="1" t="s">
        <v>44</v>
      </c>
      <c r="B8" s="1" t="s">
        <v>42</v>
      </c>
      <c r="C8">
        <v>-37.813600000000001</v>
      </c>
      <c r="D8">
        <v>144.9631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</row>
    <row r="9" spans="1:67" x14ac:dyDescent="0.3">
      <c r="A9" s="1" t="s">
        <v>93</v>
      </c>
      <c r="B9" s="1" t="s">
        <v>42</v>
      </c>
      <c r="C9">
        <v>-31.950500000000002</v>
      </c>
      <c r="D9">
        <v>115.8605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</row>
    <row r="10" spans="1:67" x14ac:dyDescent="0.3">
      <c r="A10" s="1" t="s">
        <v>138</v>
      </c>
      <c r="B10" s="1" t="s">
        <v>43</v>
      </c>
      <c r="C10">
        <v>53.933300000000003</v>
      </c>
      <c r="D10">
        <v>-116.5765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1</v>
      </c>
      <c r="BL10">
        <v>1</v>
      </c>
      <c r="BM10">
        <v>1</v>
      </c>
      <c r="BN10">
        <v>1</v>
      </c>
      <c r="BO10">
        <v>1</v>
      </c>
    </row>
    <row r="11" spans="1:67" x14ac:dyDescent="0.3">
      <c r="A11" s="1" t="s">
        <v>48</v>
      </c>
      <c r="B11" s="1" t="s">
        <v>43</v>
      </c>
      <c r="C11">
        <v>49.282699999999998</v>
      </c>
      <c r="D11">
        <v>-123.1207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4</v>
      </c>
      <c r="BH11">
        <v>4</v>
      </c>
      <c r="BI11">
        <v>7</v>
      </c>
      <c r="BJ11">
        <v>7</v>
      </c>
      <c r="BK11">
        <v>8</v>
      </c>
      <c r="BL11">
        <v>10</v>
      </c>
      <c r="BM11">
        <v>10</v>
      </c>
      <c r="BN11">
        <v>13</v>
      </c>
      <c r="BO11">
        <v>13</v>
      </c>
    </row>
    <row r="12" spans="1:67" x14ac:dyDescent="0.3">
      <c r="A12" s="1" t="s">
        <v>144</v>
      </c>
      <c r="B12" s="1" t="s">
        <v>43</v>
      </c>
      <c r="C12">
        <v>37.648899999999998</v>
      </c>
      <c r="D12">
        <v>-122.66549999999999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</row>
    <row r="13" spans="1:67" x14ac:dyDescent="0.3">
      <c r="A13" s="1" t="s">
        <v>285</v>
      </c>
      <c r="B13" s="1" t="s">
        <v>43</v>
      </c>
      <c r="C13">
        <v>53.760899999999999</v>
      </c>
      <c r="D13">
        <v>-98.813900000000004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</row>
    <row r="14" spans="1:67" x14ac:dyDescent="0.3">
      <c r="A14" s="1" t="s">
        <v>213</v>
      </c>
      <c r="B14" s="1" t="s">
        <v>43</v>
      </c>
      <c r="C14">
        <v>46.565300000000001</v>
      </c>
      <c r="D14">
        <v>-66.4619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</row>
    <row r="15" spans="1:67" x14ac:dyDescent="0.3">
      <c r="A15" s="1" t="s">
        <v>309</v>
      </c>
      <c r="B15" s="1" t="s">
        <v>43</v>
      </c>
      <c r="C15">
        <v>53.1355</v>
      </c>
      <c r="D15">
        <v>-57.660400000000003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</row>
    <row r="16" spans="1:67" x14ac:dyDescent="0.3">
      <c r="A16" s="1" t="s">
        <v>316</v>
      </c>
      <c r="B16" s="1" t="s">
        <v>43</v>
      </c>
      <c r="C16">
        <v>44.682000000000002</v>
      </c>
      <c r="D16">
        <v>-63.744300000000003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</row>
    <row r="17" spans="1:67" x14ac:dyDescent="0.3">
      <c r="A17" s="1" t="s">
        <v>137</v>
      </c>
      <c r="B17" s="1" t="s">
        <v>43</v>
      </c>
      <c r="C17">
        <v>51.253799999999998</v>
      </c>
      <c r="D17">
        <v>-85.3232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1</v>
      </c>
      <c r="BJ17">
        <v>1</v>
      </c>
      <c r="BK17">
        <v>2</v>
      </c>
      <c r="BL17">
        <v>3</v>
      </c>
      <c r="BM17">
        <v>5</v>
      </c>
      <c r="BN17">
        <v>6</v>
      </c>
      <c r="BO17">
        <v>7</v>
      </c>
    </row>
    <row r="18" spans="1:67" x14ac:dyDescent="0.3">
      <c r="A18" s="1" t="s">
        <v>310</v>
      </c>
      <c r="B18" s="1" t="s">
        <v>43</v>
      </c>
      <c r="C18">
        <v>46.5107</v>
      </c>
      <c r="D18">
        <v>-63.416800000000002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</row>
    <row r="19" spans="1:67" x14ac:dyDescent="0.3">
      <c r="A19" s="1" t="s">
        <v>142</v>
      </c>
      <c r="B19" s="1" t="s">
        <v>43</v>
      </c>
      <c r="C19">
        <v>52.939900000000002</v>
      </c>
      <c r="D19">
        <v>-73.549099999999996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1</v>
      </c>
      <c r="BL19">
        <v>5</v>
      </c>
      <c r="BM19">
        <v>4</v>
      </c>
      <c r="BN19">
        <v>4</v>
      </c>
      <c r="BO19">
        <v>4</v>
      </c>
    </row>
    <row r="20" spans="1:67" x14ac:dyDescent="0.3">
      <c r="A20" s="1" t="s">
        <v>286</v>
      </c>
      <c r="B20" s="1" t="s">
        <v>43</v>
      </c>
      <c r="C20">
        <v>52.939900000000002</v>
      </c>
      <c r="D20">
        <v>-106.4509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</row>
    <row r="21" spans="1:67" x14ac:dyDescent="0.3">
      <c r="A21" s="1" t="s">
        <v>143</v>
      </c>
      <c r="B21" s="1" t="s">
        <v>43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1</v>
      </c>
      <c r="BO21">
        <v>1</v>
      </c>
    </row>
    <row r="22" spans="1:67" x14ac:dyDescent="0.3">
      <c r="A22" s="1" t="s">
        <v>670</v>
      </c>
      <c r="B22" s="1" t="s">
        <v>43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</row>
    <row r="23" spans="1:67" x14ac:dyDescent="0.3">
      <c r="A23" s="1" t="s">
        <v>4</v>
      </c>
      <c r="B23" s="1" t="s">
        <v>202</v>
      </c>
      <c r="C23">
        <v>31.825700000000001</v>
      </c>
      <c r="D23">
        <v>117.2264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3</v>
      </c>
      <c r="Y23">
        <v>4</v>
      </c>
      <c r="Z23">
        <v>4</v>
      </c>
      <c r="AA23">
        <v>5</v>
      </c>
      <c r="AB23">
        <v>6</v>
      </c>
      <c r="AC23">
        <v>6</v>
      </c>
      <c r="AD23">
        <v>6</v>
      </c>
      <c r="AE23">
        <v>6</v>
      </c>
      <c r="AF23">
        <v>6</v>
      </c>
      <c r="AG23">
        <v>6</v>
      </c>
      <c r="AH23">
        <v>6</v>
      </c>
      <c r="AI23">
        <v>6</v>
      </c>
      <c r="AJ23">
        <v>6</v>
      </c>
      <c r="AK23">
        <v>6</v>
      </c>
      <c r="AL23">
        <v>6</v>
      </c>
      <c r="AM23">
        <v>6</v>
      </c>
      <c r="AN23">
        <v>6</v>
      </c>
      <c r="AO23">
        <v>6</v>
      </c>
      <c r="AP23">
        <v>6</v>
      </c>
      <c r="AQ23">
        <v>6</v>
      </c>
      <c r="AR23">
        <v>6</v>
      </c>
      <c r="AS23">
        <v>6</v>
      </c>
      <c r="AT23">
        <v>6</v>
      </c>
      <c r="AU23">
        <v>6</v>
      </c>
      <c r="AV23">
        <v>6</v>
      </c>
      <c r="AW23">
        <v>6</v>
      </c>
      <c r="AX23">
        <v>6</v>
      </c>
      <c r="AY23">
        <v>6</v>
      </c>
      <c r="AZ23">
        <v>6</v>
      </c>
      <c r="BA23">
        <v>6</v>
      </c>
      <c r="BB23">
        <v>6</v>
      </c>
      <c r="BC23">
        <v>6</v>
      </c>
      <c r="BD23">
        <v>6</v>
      </c>
      <c r="BE23">
        <v>6</v>
      </c>
      <c r="BF23">
        <v>6</v>
      </c>
      <c r="BG23">
        <v>6</v>
      </c>
      <c r="BH23">
        <v>6</v>
      </c>
      <c r="BI23">
        <v>6</v>
      </c>
      <c r="BJ23">
        <v>6</v>
      </c>
      <c r="BK23">
        <v>6</v>
      </c>
      <c r="BL23">
        <v>6</v>
      </c>
      <c r="BM23">
        <v>6</v>
      </c>
      <c r="BN23">
        <v>6</v>
      </c>
      <c r="BO23">
        <v>6</v>
      </c>
    </row>
    <row r="24" spans="1:67" x14ac:dyDescent="0.3">
      <c r="A24" s="1" t="s">
        <v>5</v>
      </c>
      <c r="B24" s="1" t="s">
        <v>202</v>
      </c>
      <c r="C24">
        <v>40.182400000000001</v>
      </c>
      <c r="D24">
        <v>116.41419999999999</v>
      </c>
      <c r="E24">
        <v>0</v>
      </c>
      <c r="F24">
        <v>0</v>
      </c>
      <c r="G24">
        <v>0</v>
      </c>
      <c r="H24">
        <v>0</v>
      </c>
      <c r="I24">
        <v>0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2</v>
      </c>
      <c r="W24">
        <v>2</v>
      </c>
      <c r="X24">
        <v>2</v>
      </c>
      <c r="Y24">
        <v>3</v>
      </c>
      <c r="Z24">
        <v>3</v>
      </c>
      <c r="AA24">
        <v>3</v>
      </c>
      <c r="AB24">
        <v>3</v>
      </c>
      <c r="AC24">
        <v>4</v>
      </c>
      <c r="AD24">
        <v>4</v>
      </c>
      <c r="AE24">
        <v>4</v>
      </c>
      <c r="AF24">
        <v>4</v>
      </c>
      <c r="AG24">
        <v>4</v>
      </c>
      <c r="AH24">
        <v>4</v>
      </c>
      <c r="AI24">
        <v>4</v>
      </c>
      <c r="AJ24">
        <v>4</v>
      </c>
      <c r="AK24">
        <v>4</v>
      </c>
      <c r="AL24">
        <v>4</v>
      </c>
      <c r="AM24">
        <v>4</v>
      </c>
      <c r="AN24">
        <v>4</v>
      </c>
      <c r="AO24">
        <v>5</v>
      </c>
      <c r="AP24">
        <v>7</v>
      </c>
      <c r="AQ24">
        <v>8</v>
      </c>
      <c r="AR24">
        <v>8</v>
      </c>
      <c r="AS24">
        <v>8</v>
      </c>
      <c r="AT24">
        <v>8</v>
      </c>
      <c r="AU24">
        <v>8</v>
      </c>
      <c r="AV24">
        <v>8</v>
      </c>
      <c r="AW24">
        <v>8</v>
      </c>
      <c r="AX24">
        <v>8</v>
      </c>
      <c r="AY24">
        <v>8</v>
      </c>
      <c r="AZ24">
        <v>8</v>
      </c>
      <c r="BA24">
        <v>8</v>
      </c>
      <c r="BB24">
        <v>8</v>
      </c>
      <c r="BC24">
        <v>8</v>
      </c>
      <c r="BD24">
        <v>8</v>
      </c>
      <c r="BE24">
        <v>8</v>
      </c>
      <c r="BF24">
        <v>8</v>
      </c>
      <c r="BG24">
        <v>8</v>
      </c>
      <c r="BH24">
        <v>8</v>
      </c>
      <c r="BI24">
        <v>8</v>
      </c>
      <c r="BJ24">
        <v>8</v>
      </c>
      <c r="BK24">
        <v>8</v>
      </c>
      <c r="BL24">
        <v>8</v>
      </c>
      <c r="BM24">
        <v>8</v>
      </c>
      <c r="BN24">
        <v>8</v>
      </c>
      <c r="BO24">
        <v>8</v>
      </c>
    </row>
    <row r="25" spans="1:67" x14ac:dyDescent="0.3">
      <c r="A25" s="1" t="s">
        <v>6</v>
      </c>
      <c r="B25" s="1" t="s">
        <v>202</v>
      </c>
      <c r="C25">
        <v>30.057200000000002</v>
      </c>
      <c r="D25">
        <v>107.874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X25">
        <v>2</v>
      </c>
      <c r="Y25">
        <v>3</v>
      </c>
      <c r="Z25">
        <v>3</v>
      </c>
      <c r="AA25">
        <v>4</v>
      </c>
      <c r="AB25">
        <v>5</v>
      </c>
      <c r="AC25">
        <v>5</v>
      </c>
      <c r="AD25">
        <v>5</v>
      </c>
      <c r="AE25">
        <v>5</v>
      </c>
      <c r="AF25">
        <v>5</v>
      </c>
      <c r="AG25">
        <v>5</v>
      </c>
      <c r="AH25">
        <v>6</v>
      </c>
      <c r="AI25">
        <v>6</v>
      </c>
      <c r="AJ25">
        <v>6</v>
      </c>
      <c r="AK25">
        <v>6</v>
      </c>
      <c r="AL25">
        <v>6</v>
      </c>
      <c r="AM25">
        <v>6</v>
      </c>
      <c r="AN25">
        <v>6</v>
      </c>
      <c r="AO25">
        <v>6</v>
      </c>
      <c r="AP25">
        <v>6</v>
      </c>
      <c r="AQ25">
        <v>6</v>
      </c>
      <c r="AR25">
        <v>6</v>
      </c>
      <c r="AS25">
        <v>6</v>
      </c>
      <c r="AT25">
        <v>6</v>
      </c>
      <c r="AU25">
        <v>6</v>
      </c>
      <c r="AV25">
        <v>6</v>
      </c>
      <c r="AW25">
        <v>6</v>
      </c>
      <c r="AX25">
        <v>6</v>
      </c>
      <c r="AY25">
        <v>6</v>
      </c>
      <c r="AZ25">
        <v>6</v>
      </c>
      <c r="BA25">
        <v>6</v>
      </c>
      <c r="BB25">
        <v>6</v>
      </c>
      <c r="BC25">
        <v>6</v>
      </c>
      <c r="BD25">
        <v>6</v>
      </c>
      <c r="BE25">
        <v>6</v>
      </c>
      <c r="BF25">
        <v>6</v>
      </c>
      <c r="BG25">
        <v>6</v>
      </c>
      <c r="BH25">
        <v>6</v>
      </c>
      <c r="BI25">
        <v>6</v>
      </c>
      <c r="BJ25">
        <v>6</v>
      </c>
      <c r="BK25">
        <v>6</v>
      </c>
      <c r="BL25">
        <v>6</v>
      </c>
      <c r="BM25">
        <v>6</v>
      </c>
      <c r="BN25">
        <v>6</v>
      </c>
      <c r="BO25">
        <v>6</v>
      </c>
    </row>
    <row r="26" spans="1:67" x14ac:dyDescent="0.3">
      <c r="A26" s="1" t="s">
        <v>7</v>
      </c>
      <c r="B26" s="1" t="s">
        <v>202</v>
      </c>
      <c r="C26">
        <v>26.078900000000001</v>
      </c>
      <c r="D26">
        <v>117.98739999999999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</row>
    <row r="27" spans="1:67" x14ac:dyDescent="0.3">
      <c r="A27" s="1" t="s">
        <v>30</v>
      </c>
      <c r="B27" s="1" t="s">
        <v>202</v>
      </c>
      <c r="C27">
        <v>37.809899999999999</v>
      </c>
      <c r="D27">
        <v>101.0583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1</v>
      </c>
      <c r="W27">
        <v>2</v>
      </c>
      <c r="X27">
        <v>2</v>
      </c>
      <c r="Y27">
        <v>2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2</v>
      </c>
      <c r="AO27">
        <v>2</v>
      </c>
      <c r="AP27">
        <v>2</v>
      </c>
      <c r="AQ27">
        <v>2</v>
      </c>
      <c r="AR27">
        <v>2</v>
      </c>
      <c r="AS27">
        <v>2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2</v>
      </c>
      <c r="BB27">
        <v>2</v>
      </c>
      <c r="BC27">
        <v>2</v>
      </c>
      <c r="BD27">
        <v>2</v>
      </c>
      <c r="BE27">
        <v>2</v>
      </c>
      <c r="BF27">
        <v>2</v>
      </c>
      <c r="BG27">
        <v>2</v>
      </c>
      <c r="BH27">
        <v>2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</row>
    <row r="28" spans="1:67" x14ac:dyDescent="0.3">
      <c r="A28" s="1" t="s">
        <v>8</v>
      </c>
      <c r="B28" s="1" t="s">
        <v>202</v>
      </c>
      <c r="C28">
        <v>23.341699999999999</v>
      </c>
      <c r="D28">
        <v>113.42440000000001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2</v>
      </c>
      <c r="AB28">
        <v>2</v>
      </c>
      <c r="AC28">
        <v>2</v>
      </c>
      <c r="AD28">
        <v>2</v>
      </c>
      <c r="AE28">
        <v>4</v>
      </c>
      <c r="AF28">
        <v>4</v>
      </c>
      <c r="AG28">
        <v>5</v>
      </c>
      <c r="AH28">
        <v>5</v>
      </c>
      <c r="AI28">
        <v>5</v>
      </c>
      <c r="AJ28">
        <v>5</v>
      </c>
      <c r="AK28">
        <v>6</v>
      </c>
      <c r="AL28">
        <v>6</v>
      </c>
      <c r="AM28">
        <v>7</v>
      </c>
      <c r="AN28">
        <v>7</v>
      </c>
      <c r="AO28">
        <v>7</v>
      </c>
      <c r="AP28">
        <v>7</v>
      </c>
      <c r="AQ28">
        <v>7</v>
      </c>
      <c r="AR28">
        <v>7</v>
      </c>
      <c r="AS28">
        <v>7</v>
      </c>
      <c r="AT28">
        <v>7</v>
      </c>
      <c r="AU28">
        <v>7</v>
      </c>
      <c r="AV28">
        <v>7</v>
      </c>
      <c r="AW28">
        <v>7</v>
      </c>
      <c r="AX28">
        <v>7</v>
      </c>
      <c r="AY28">
        <v>7</v>
      </c>
      <c r="AZ28">
        <v>8</v>
      </c>
      <c r="BA28">
        <v>8</v>
      </c>
      <c r="BB28">
        <v>8</v>
      </c>
      <c r="BC28">
        <v>8</v>
      </c>
      <c r="BD28">
        <v>8</v>
      </c>
      <c r="BE28">
        <v>8</v>
      </c>
      <c r="BF28">
        <v>8</v>
      </c>
      <c r="BG28">
        <v>8</v>
      </c>
      <c r="BH28">
        <v>8</v>
      </c>
      <c r="BI28">
        <v>8</v>
      </c>
      <c r="BJ28">
        <v>8</v>
      </c>
      <c r="BK28">
        <v>8</v>
      </c>
      <c r="BL28">
        <v>8</v>
      </c>
      <c r="BM28">
        <v>8</v>
      </c>
      <c r="BN28">
        <v>8</v>
      </c>
      <c r="BO28">
        <v>8</v>
      </c>
    </row>
    <row r="29" spans="1:67" x14ac:dyDescent="0.3">
      <c r="A29" s="1" t="s">
        <v>9</v>
      </c>
      <c r="B29" s="1" t="s">
        <v>202</v>
      </c>
      <c r="C29">
        <v>23.829799999999999</v>
      </c>
      <c r="D29">
        <v>108.7881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1</v>
      </c>
      <c r="Y29">
        <v>1</v>
      </c>
      <c r="Z29">
        <v>1</v>
      </c>
      <c r="AA29">
        <v>2</v>
      </c>
      <c r="AB29">
        <v>2</v>
      </c>
      <c r="AC29">
        <v>2</v>
      </c>
      <c r="AD29">
        <v>2</v>
      </c>
      <c r="AE29">
        <v>2</v>
      </c>
      <c r="AF29">
        <v>2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U29">
        <v>2</v>
      </c>
      <c r="AV29">
        <v>2</v>
      </c>
      <c r="AW29">
        <v>2</v>
      </c>
      <c r="AX29">
        <v>2</v>
      </c>
      <c r="AY29">
        <v>2</v>
      </c>
      <c r="AZ29">
        <v>2</v>
      </c>
      <c r="BA29">
        <v>2</v>
      </c>
      <c r="BB29">
        <v>2</v>
      </c>
      <c r="BC29">
        <v>2</v>
      </c>
      <c r="BD29">
        <v>2</v>
      </c>
      <c r="BE29">
        <v>2</v>
      </c>
      <c r="BF29">
        <v>2</v>
      </c>
      <c r="BG29">
        <v>2</v>
      </c>
      <c r="BH29">
        <v>2</v>
      </c>
      <c r="BI29">
        <v>2</v>
      </c>
      <c r="BJ29">
        <v>2</v>
      </c>
      <c r="BK29">
        <v>2</v>
      </c>
      <c r="BL29">
        <v>2</v>
      </c>
      <c r="BM29">
        <v>2</v>
      </c>
      <c r="BN29">
        <v>2</v>
      </c>
      <c r="BO29">
        <v>2</v>
      </c>
    </row>
    <row r="30" spans="1:67" x14ac:dyDescent="0.3">
      <c r="A30" s="1" t="s">
        <v>10</v>
      </c>
      <c r="B30" s="1" t="s">
        <v>202</v>
      </c>
      <c r="C30">
        <v>26.8154</v>
      </c>
      <c r="D30">
        <v>106.87479999999999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2</v>
      </c>
      <c r="AG30">
        <v>2</v>
      </c>
      <c r="AH30">
        <v>2</v>
      </c>
      <c r="AI30">
        <v>2</v>
      </c>
      <c r="AJ30">
        <v>2</v>
      </c>
      <c r="AK30">
        <v>2</v>
      </c>
      <c r="AL30">
        <v>2</v>
      </c>
      <c r="AM30">
        <v>2</v>
      </c>
      <c r="AN30">
        <v>2</v>
      </c>
      <c r="AO30">
        <v>2</v>
      </c>
      <c r="AP30">
        <v>2</v>
      </c>
      <c r="AQ30">
        <v>2</v>
      </c>
      <c r="AR30">
        <v>2</v>
      </c>
      <c r="AS30">
        <v>2</v>
      </c>
      <c r="AT30">
        <v>2</v>
      </c>
      <c r="AU30">
        <v>2</v>
      </c>
      <c r="AV30">
        <v>2</v>
      </c>
      <c r="AW30">
        <v>2</v>
      </c>
      <c r="AX30">
        <v>2</v>
      </c>
      <c r="AY30">
        <v>2</v>
      </c>
      <c r="AZ30">
        <v>2</v>
      </c>
      <c r="BA30">
        <v>2</v>
      </c>
      <c r="BB30">
        <v>2</v>
      </c>
      <c r="BC30">
        <v>2</v>
      </c>
      <c r="BD30">
        <v>2</v>
      </c>
      <c r="BE30">
        <v>2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</row>
    <row r="31" spans="1:67" x14ac:dyDescent="0.3">
      <c r="A31" s="1" t="s">
        <v>11</v>
      </c>
      <c r="B31" s="1" t="s">
        <v>202</v>
      </c>
      <c r="C31">
        <v>19.195900000000002</v>
      </c>
      <c r="D31">
        <v>109.7453</v>
      </c>
      <c r="E31">
        <v>0</v>
      </c>
      <c r="F31">
        <v>0</v>
      </c>
      <c r="G31">
        <v>0</v>
      </c>
      <c r="H31">
        <v>0</v>
      </c>
      <c r="I31">
        <v>0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2</v>
      </c>
      <c r="V31">
        <v>2</v>
      </c>
      <c r="W31">
        <v>3</v>
      </c>
      <c r="X31">
        <v>3</v>
      </c>
      <c r="Y31">
        <v>3</v>
      </c>
      <c r="Z31">
        <v>4</v>
      </c>
      <c r="AA31">
        <v>4</v>
      </c>
      <c r="AB31">
        <v>4</v>
      </c>
      <c r="AC31">
        <v>4</v>
      </c>
      <c r="AD31">
        <v>4</v>
      </c>
      <c r="AE31">
        <v>4</v>
      </c>
      <c r="AF31">
        <v>4</v>
      </c>
      <c r="AG31">
        <v>4</v>
      </c>
      <c r="AH31">
        <v>4</v>
      </c>
      <c r="AI31">
        <v>4</v>
      </c>
      <c r="AJ31">
        <v>4</v>
      </c>
      <c r="AK31">
        <v>5</v>
      </c>
      <c r="AL31">
        <v>5</v>
      </c>
      <c r="AM31">
        <v>5</v>
      </c>
      <c r="AN31">
        <v>5</v>
      </c>
      <c r="AO31">
        <v>5</v>
      </c>
      <c r="AP31">
        <v>5</v>
      </c>
      <c r="AQ31">
        <v>5</v>
      </c>
      <c r="AR31">
        <v>5</v>
      </c>
      <c r="AS31">
        <v>5</v>
      </c>
      <c r="AT31">
        <v>5</v>
      </c>
      <c r="AU31">
        <v>5</v>
      </c>
      <c r="AV31">
        <v>6</v>
      </c>
      <c r="AW31">
        <v>6</v>
      </c>
      <c r="AX31">
        <v>6</v>
      </c>
      <c r="AY31">
        <v>6</v>
      </c>
      <c r="AZ31">
        <v>6</v>
      </c>
      <c r="BA31">
        <v>6</v>
      </c>
      <c r="BB31">
        <v>6</v>
      </c>
      <c r="BC31">
        <v>6</v>
      </c>
      <c r="BD31">
        <v>6</v>
      </c>
      <c r="BE31">
        <v>6</v>
      </c>
      <c r="BF31">
        <v>6</v>
      </c>
      <c r="BG31">
        <v>6</v>
      </c>
      <c r="BH31">
        <v>6</v>
      </c>
      <c r="BI31">
        <v>6</v>
      </c>
      <c r="BJ31">
        <v>6</v>
      </c>
      <c r="BK31">
        <v>6</v>
      </c>
      <c r="BL31">
        <v>6</v>
      </c>
      <c r="BM31">
        <v>6</v>
      </c>
      <c r="BN31">
        <v>6</v>
      </c>
      <c r="BO31">
        <v>6</v>
      </c>
    </row>
    <row r="32" spans="1:67" x14ac:dyDescent="0.3">
      <c r="A32" s="1" t="s">
        <v>12</v>
      </c>
      <c r="B32" s="1" t="s">
        <v>202</v>
      </c>
      <c r="C32">
        <v>39.548999999999999</v>
      </c>
      <c r="D32">
        <v>116.1306</v>
      </c>
      <c r="E32">
        <v>0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2</v>
      </c>
      <c r="X32">
        <v>2</v>
      </c>
      <c r="Y32">
        <v>2</v>
      </c>
      <c r="Z32">
        <v>2</v>
      </c>
      <c r="AA32">
        <v>3</v>
      </c>
      <c r="AB32">
        <v>3</v>
      </c>
      <c r="AC32">
        <v>3</v>
      </c>
      <c r="AD32">
        <v>3</v>
      </c>
      <c r="AE32">
        <v>3</v>
      </c>
      <c r="AF32">
        <v>4</v>
      </c>
      <c r="AG32">
        <v>4</v>
      </c>
      <c r="AH32">
        <v>5</v>
      </c>
      <c r="AI32">
        <v>5</v>
      </c>
      <c r="AJ32">
        <v>6</v>
      </c>
      <c r="AK32">
        <v>6</v>
      </c>
      <c r="AL32">
        <v>6</v>
      </c>
      <c r="AM32">
        <v>6</v>
      </c>
      <c r="AN32">
        <v>6</v>
      </c>
      <c r="AO32">
        <v>6</v>
      </c>
      <c r="AP32">
        <v>6</v>
      </c>
      <c r="AQ32">
        <v>6</v>
      </c>
      <c r="AR32">
        <v>6</v>
      </c>
      <c r="AS32">
        <v>6</v>
      </c>
      <c r="AT32">
        <v>6</v>
      </c>
      <c r="AU32">
        <v>6</v>
      </c>
      <c r="AV32">
        <v>6</v>
      </c>
      <c r="AW32">
        <v>6</v>
      </c>
      <c r="AX32">
        <v>6</v>
      </c>
      <c r="AY32">
        <v>6</v>
      </c>
      <c r="AZ32">
        <v>6</v>
      </c>
      <c r="BA32">
        <v>6</v>
      </c>
      <c r="BB32">
        <v>6</v>
      </c>
      <c r="BC32">
        <v>6</v>
      </c>
      <c r="BD32">
        <v>6</v>
      </c>
      <c r="BE32">
        <v>6</v>
      </c>
      <c r="BF32">
        <v>6</v>
      </c>
      <c r="BG32">
        <v>6</v>
      </c>
      <c r="BH32">
        <v>6</v>
      </c>
      <c r="BI32">
        <v>6</v>
      </c>
      <c r="BJ32">
        <v>6</v>
      </c>
      <c r="BK32">
        <v>6</v>
      </c>
      <c r="BL32">
        <v>6</v>
      </c>
      <c r="BM32">
        <v>6</v>
      </c>
      <c r="BN32">
        <v>6</v>
      </c>
      <c r="BO32">
        <v>6</v>
      </c>
    </row>
    <row r="33" spans="1:67" x14ac:dyDescent="0.3">
      <c r="A33" s="1" t="s">
        <v>31</v>
      </c>
      <c r="B33" s="1" t="s">
        <v>202</v>
      </c>
      <c r="C33">
        <v>47.862000000000002</v>
      </c>
      <c r="D33">
        <v>127.7615</v>
      </c>
      <c r="E33">
        <v>0</v>
      </c>
      <c r="F33">
        <v>0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3</v>
      </c>
      <c r="U33">
        <v>3</v>
      </c>
      <c r="V33">
        <v>5</v>
      </c>
      <c r="W33">
        <v>6</v>
      </c>
      <c r="X33">
        <v>7</v>
      </c>
      <c r="Y33">
        <v>8</v>
      </c>
      <c r="Z33">
        <v>8</v>
      </c>
      <c r="AA33">
        <v>9</v>
      </c>
      <c r="AB33">
        <v>11</v>
      </c>
      <c r="AC33">
        <v>11</v>
      </c>
      <c r="AD33">
        <v>11</v>
      </c>
      <c r="AE33">
        <v>11</v>
      </c>
      <c r="AF33">
        <v>11</v>
      </c>
      <c r="AG33">
        <v>12</v>
      </c>
      <c r="AH33">
        <v>12</v>
      </c>
      <c r="AI33">
        <v>12</v>
      </c>
      <c r="AJ33">
        <v>12</v>
      </c>
      <c r="AK33">
        <v>12</v>
      </c>
      <c r="AL33">
        <v>12</v>
      </c>
      <c r="AM33">
        <v>12</v>
      </c>
      <c r="AN33">
        <v>12</v>
      </c>
      <c r="AO33">
        <v>13</v>
      </c>
      <c r="AP33">
        <v>13</v>
      </c>
      <c r="AQ33">
        <v>13</v>
      </c>
      <c r="AR33">
        <v>13</v>
      </c>
      <c r="AS33">
        <v>13</v>
      </c>
      <c r="AT33">
        <v>13</v>
      </c>
      <c r="AU33">
        <v>13</v>
      </c>
      <c r="AV33">
        <v>13</v>
      </c>
      <c r="AW33">
        <v>13</v>
      </c>
      <c r="AX33">
        <v>13</v>
      </c>
      <c r="AY33">
        <v>13</v>
      </c>
      <c r="AZ33">
        <v>13</v>
      </c>
      <c r="BA33">
        <v>13</v>
      </c>
      <c r="BB33">
        <v>13</v>
      </c>
      <c r="BC33">
        <v>13</v>
      </c>
      <c r="BD33">
        <v>13</v>
      </c>
      <c r="BE33">
        <v>13</v>
      </c>
      <c r="BF33">
        <v>13</v>
      </c>
      <c r="BG33">
        <v>13</v>
      </c>
      <c r="BH33">
        <v>13</v>
      </c>
      <c r="BI33">
        <v>13</v>
      </c>
      <c r="BJ33">
        <v>13</v>
      </c>
      <c r="BK33">
        <v>13</v>
      </c>
      <c r="BL33">
        <v>13</v>
      </c>
      <c r="BM33">
        <v>13</v>
      </c>
      <c r="BN33">
        <v>13</v>
      </c>
      <c r="BO33">
        <v>13</v>
      </c>
    </row>
    <row r="34" spans="1:67" x14ac:dyDescent="0.3">
      <c r="A34" s="1" t="s">
        <v>13</v>
      </c>
      <c r="B34" s="1" t="s">
        <v>202</v>
      </c>
      <c r="C34">
        <v>33.881999999999998</v>
      </c>
      <c r="D34">
        <v>113.614</v>
      </c>
      <c r="E34">
        <v>0</v>
      </c>
      <c r="F34">
        <v>0</v>
      </c>
      <c r="G34">
        <v>0</v>
      </c>
      <c r="H34">
        <v>0</v>
      </c>
      <c r="I34">
        <v>1</v>
      </c>
      <c r="J34">
        <v>1</v>
      </c>
      <c r="K34">
        <v>1</v>
      </c>
      <c r="L34">
        <v>2</v>
      </c>
      <c r="M34">
        <v>2</v>
      </c>
      <c r="N34">
        <v>2</v>
      </c>
      <c r="O34">
        <v>2</v>
      </c>
      <c r="P34">
        <v>2</v>
      </c>
      <c r="Q34">
        <v>2</v>
      </c>
      <c r="R34">
        <v>2</v>
      </c>
      <c r="S34">
        <v>2</v>
      </c>
      <c r="T34">
        <v>2</v>
      </c>
      <c r="U34">
        <v>3</v>
      </c>
      <c r="V34">
        <v>4</v>
      </c>
      <c r="W34">
        <v>6</v>
      </c>
      <c r="X34">
        <v>6</v>
      </c>
      <c r="Y34">
        <v>7</v>
      </c>
      <c r="Z34">
        <v>8</v>
      </c>
      <c r="AA34">
        <v>10</v>
      </c>
      <c r="AB34">
        <v>11</v>
      </c>
      <c r="AC34">
        <v>13</v>
      </c>
      <c r="AD34">
        <v>13</v>
      </c>
      <c r="AE34">
        <v>16</v>
      </c>
      <c r="AF34">
        <v>19</v>
      </c>
      <c r="AG34">
        <v>19</v>
      </c>
      <c r="AH34">
        <v>19</v>
      </c>
      <c r="AI34">
        <v>19</v>
      </c>
      <c r="AJ34">
        <v>19</v>
      </c>
      <c r="AK34">
        <v>19</v>
      </c>
      <c r="AL34">
        <v>19</v>
      </c>
      <c r="AM34">
        <v>19</v>
      </c>
      <c r="AN34">
        <v>19</v>
      </c>
      <c r="AO34">
        <v>20</v>
      </c>
      <c r="AP34">
        <v>20</v>
      </c>
      <c r="AQ34">
        <v>21</v>
      </c>
      <c r="AR34">
        <v>22</v>
      </c>
      <c r="AS34">
        <v>22</v>
      </c>
      <c r="AT34">
        <v>22</v>
      </c>
      <c r="AU34">
        <v>22</v>
      </c>
      <c r="AV34">
        <v>22</v>
      </c>
      <c r="AW34">
        <v>22</v>
      </c>
      <c r="AX34">
        <v>22</v>
      </c>
      <c r="AY34">
        <v>22</v>
      </c>
      <c r="AZ34">
        <v>22</v>
      </c>
      <c r="BA34">
        <v>22</v>
      </c>
      <c r="BB34">
        <v>22</v>
      </c>
      <c r="BC34">
        <v>22</v>
      </c>
      <c r="BD34">
        <v>22</v>
      </c>
      <c r="BE34">
        <v>22</v>
      </c>
      <c r="BF34">
        <v>22</v>
      </c>
      <c r="BG34">
        <v>22</v>
      </c>
      <c r="BH34">
        <v>22</v>
      </c>
      <c r="BI34">
        <v>22</v>
      </c>
      <c r="BJ34">
        <v>22</v>
      </c>
      <c r="BK34">
        <v>22</v>
      </c>
      <c r="BL34">
        <v>22</v>
      </c>
      <c r="BM34">
        <v>22</v>
      </c>
      <c r="BN34">
        <v>22</v>
      </c>
      <c r="BO34">
        <v>22</v>
      </c>
    </row>
    <row r="35" spans="1:67" x14ac:dyDescent="0.3">
      <c r="A35" s="1" t="s">
        <v>32</v>
      </c>
      <c r="B35" s="1" t="s">
        <v>202</v>
      </c>
      <c r="C35">
        <v>22.3</v>
      </c>
      <c r="D35">
        <v>114.2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  <c r="AU35">
        <v>2</v>
      </c>
      <c r="AV35">
        <v>2</v>
      </c>
      <c r="AW35">
        <v>2</v>
      </c>
      <c r="AX35">
        <v>2</v>
      </c>
      <c r="AY35">
        <v>3</v>
      </c>
      <c r="AZ35">
        <v>3</v>
      </c>
      <c r="BA35">
        <v>3</v>
      </c>
      <c r="BB35">
        <v>3</v>
      </c>
      <c r="BC35">
        <v>3</v>
      </c>
      <c r="BD35">
        <v>4</v>
      </c>
      <c r="BE35">
        <v>4</v>
      </c>
      <c r="BF35">
        <v>4</v>
      </c>
      <c r="BG35">
        <v>4</v>
      </c>
      <c r="BH35">
        <v>4</v>
      </c>
      <c r="BI35">
        <v>4</v>
      </c>
      <c r="BJ35">
        <v>4</v>
      </c>
      <c r="BK35">
        <v>4</v>
      </c>
      <c r="BL35">
        <v>4</v>
      </c>
      <c r="BM35">
        <v>4</v>
      </c>
      <c r="BN35">
        <v>4</v>
      </c>
      <c r="BO35">
        <v>4</v>
      </c>
    </row>
    <row r="36" spans="1:67" x14ac:dyDescent="0.3">
      <c r="A36" s="1" t="s">
        <v>14</v>
      </c>
      <c r="B36" s="1" t="s">
        <v>202</v>
      </c>
      <c r="C36">
        <v>30.9756</v>
      </c>
      <c r="D36">
        <v>112.27070000000001</v>
      </c>
      <c r="E36">
        <v>17</v>
      </c>
      <c r="F36">
        <v>17</v>
      </c>
      <c r="G36">
        <v>24</v>
      </c>
      <c r="H36">
        <v>40</v>
      </c>
      <c r="I36">
        <v>52</v>
      </c>
      <c r="J36">
        <v>76</v>
      </c>
      <c r="K36">
        <v>125</v>
      </c>
      <c r="L36">
        <v>125</v>
      </c>
      <c r="M36">
        <v>162</v>
      </c>
      <c r="N36">
        <v>204</v>
      </c>
      <c r="O36">
        <v>249</v>
      </c>
      <c r="P36">
        <v>350</v>
      </c>
      <c r="Q36">
        <v>414</v>
      </c>
      <c r="R36">
        <v>479</v>
      </c>
      <c r="S36">
        <v>549</v>
      </c>
      <c r="T36">
        <v>618</v>
      </c>
      <c r="U36">
        <v>699</v>
      </c>
      <c r="V36">
        <v>780</v>
      </c>
      <c r="W36">
        <v>871</v>
      </c>
      <c r="X36">
        <v>974</v>
      </c>
      <c r="Y36">
        <v>1068</v>
      </c>
      <c r="Z36">
        <v>1068</v>
      </c>
      <c r="AA36">
        <v>1310</v>
      </c>
      <c r="AB36">
        <v>1457</v>
      </c>
      <c r="AC36">
        <v>1596</v>
      </c>
      <c r="AD36">
        <v>1696</v>
      </c>
      <c r="AE36">
        <v>1789</v>
      </c>
      <c r="AF36">
        <v>1921</v>
      </c>
      <c r="AG36">
        <v>2029</v>
      </c>
      <c r="AH36">
        <v>2144</v>
      </c>
      <c r="AI36">
        <v>2144</v>
      </c>
      <c r="AJ36">
        <v>2346</v>
      </c>
      <c r="AK36">
        <v>2346</v>
      </c>
      <c r="AL36">
        <v>2495</v>
      </c>
      <c r="AM36">
        <v>2563</v>
      </c>
      <c r="AN36">
        <v>2615</v>
      </c>
      <c r="AO36">
        <v>2641</v>
      </c>
      <c r="AP36">
        <v>2682</v>
      </c>
      <c r="AQ36">
        <v>2727</v>
      </c>
      <c r="AR36">
        <v>2761</v>
      </c>
      <c r="AS36">
        <v>2803</v>
      </c>
      <c r="AT36">
        <v>2835</v>
      </c>
      <c r="AU36">
        <v>2871</v>
      </c>
      <c r="AV36">
        <v>2902</v>
      </c>
      <c r="AW36">
        <v>2931</v>
      </c>
      <c r="AX36">
        <v>2959</v>
      </c>
      <c r="AY36">
        <v>2986</v>
      </c>
      <c r="AZ36">
        <v>3008</v>
      </c>
      <c r="BA36">
        <v>3024</v>
      </c>
      <c r="BB36">
        <v>3046</v>
      </c>
      <c r="BC36">
        <v>3056</v>
      </c>
      <c r="BD36">
        <v>3062</v>
      </c>
      <c r="BE36">
        <v>3075</v>
      </c>
      <c r="BF36">
        <v>3085</v>
      </c>
      <c r="BG36">
        <v>3099</v>
      </c>
      <c r="BH36">
        <v>3111</v>
      </c>
      <c r="BI36">
        <v>3122</v>
      </c>
      <c r="BJ36">
        <v>3130</v>
      </c>
      <c r="BK36">
        <v>3133</v>
      </c>
      <c r="BL36">
        <v>3139</v>
      </c>
      <c r="BM36">
        <v>3153</v>
      </c>
      <c r="BN36">
        <v>3153</v>
      </c>
      <c r="BO36">
        <v>3160</v>
      </c>
    </row>
    <row r="37" spans="1:67" x14ac:dyDescent="0.3">
      <c r="A37" s="1" t="s">
        <v>15</v>
      </c>
      <c r="B37" s="1" t="s">
        <v>202</v>
      </c>
      <c r="C37">
        <v>27.610399999999998</v>
      </c>
      <c r="D37">
        <v>111.7088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1</v>
      </c>
      <c r="W37">
        <v>1</v>
      </c>
      <c r="X37">
        <v>1</v>
      </c>
      <c r="Y37">
        <v>1</v>
      </c>
      <c r="Z37">
        <v>2</v>
      </c>
      <c r="AA37">
        <v>2</v>
      </c>
      <c r="AB37">
        <v>2</v>
      </c>
      <c r="AC37">
        <v>2</v>
      </c>
      <c r="AD37">
        <v>3</v>
      </c>
      <c r="AE37">
        <v>3</v>
      </c>
      <c r="AF37">
        <v>4</v>
      </c>
      <c r="AG37">
        <v>4</v>
      </c>
      <c r="AH37">
        <v>4</v>
      </c>
      <c r="AI37">
        <v>4</v>
      </c>
      <c r="AJ37">
        <v>4</v>
      </c>
      <c r="AK37">
        <v>4</v>
      </c>
      <c r="AL37">
        <v>4</v>
      </c>
      <c r="AM37">
        <v>4</v>
      </c>
      <c r="AN37">
        <v>4</v>
      </c>
      <c r="AO37">
        <v>4</v>
      </c>
      <c r="AP37">
        <v>4</v>
      </c>
      <c r="AQ37">
        <v>4</v>
      </c>
      <c r="AR37">
        <v>4</v>
      </c>
      <c r="AS37">
        <v>4</v>
      </c>
      <c r="AT37">
        <v>4</v>
      </c>
      <c r="AU37">
        <v>4</v>
      </c>
      <c r="AV37">
        <v>4</v>
      </c>
      <c r="AW37">
        <v>4</v>
      </c>
      <c r="AX37">
        <v>4</v>
      </c>
      <c r="AY37">
        <v>4</v>
      </c>
      <c r="AZ37">
        <v>4</v>
      </c>
      <c r="BA37">
        <v>4</v>
      </c>
      <c r="BB37">
        <v>4</v>
      </c>
      <c r="BC37">
        <v>4</v>
      </c>
      <c r="BD37">
        <v>4</v>
      </c>
      <c r="BE37">
        <v>4</v>
      </c>
      <c r="BF37">
        <v>4</v>
      </c>
      <c r="BG37">
        <v>4</v>
      </c>
      <c r="BH37">
        <v>4</v>
      </c>
      <c r="BI37">
        <v>4</v>
      </c>
      <c r="BJ37">
        <v>4</v>
      </c>
      <c r="BK37">
        <v>4</v>
      </c>
      <c r="BL37">
        <v>4</v>
      </c>
      <c r="BM37">
        <v>4</v>
      </c>
      <c r="BN37">
        <v>4</v>
      </c>
      <c r="BO37">
        <v>4</v>
      </c>
    </row>
    <row r="38" spans="1:67" x14ac:dyDescent="0.3">
      <c r="A38" s="1" t="s">
        <v>37</v>
      </c>
      <c r="B38" s="1" t="s">
        <v>202</v>
      </c>
      <c r="C38">
        <v>44.093499999999999</v>
      </c>
      <c r="D38">
        <v>113.9448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</row>
    <row r="39" spans="1:67" x14ac:dyDescent="0.3">
      <c r="A39" s="1" t="s">
        <v>16</v>
      </c>
      <c r="B39" s="1" t="s">
        <v>202</v>
      </c>
      <c r="C39">
        <v>32.9711</v>
      </c>
      <c r="D39">
        <v>119.455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</row>
    <row r="40" spans="1:67" x14ac:dyDescent="0.3">
      <c r="A40" s="1" t="s">
        <v>17</v>
      </c>
      <c r="B40" s="1" t="s">
        <v>202</v>
      </c>
      <c r="C40">
        <v>27.614000000000001</v>
      </c>
      <c r="D40">
        <v>115.7221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</row>
    <row r="41" spans="1:67" x14ac:dyDescent="0.3">
      <c r="A41" s="1" t="s">
        <v>33</v>
      </c>
      <c r="B41" s="1" t="s">
        <v>202</v>
      </c>
      <c r="C41">
        <v>43.6661</v>
      </c>
      <c r="D41">
        <v>126.1923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</row>
    <row r="42" spans="1:67" x14ac:dyDescent="0.3">
      <c r="A42" s="1" t="s">
        <v>19</v>
      </c>
      <c r="B42" s="1" t="s">
        <v>202</v>
      </c>
      <c r="C42">
        <v>41.2956</v>
      </c>
      <c r="D42">
        <v>122.60850000000001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2</v>
      </c>
      <c r="BL42">
        <v>2</v>
      </c>
      <c r="BM42">
        <v>2</v>
      </c>
      <c r="BN42">
        <v>2</v>
      </c>
      <c r="BO42">
        <v>2</v>
      </c>
    </row>
    <row r="43" spans="1:67" x14ac:dyDescent="0.3">
      <c r="A43" s="1" t="s">
        <v>20</v>
      </c>
      <c r="B43" s="1" t="s">
        <v>202</v>
      </c>
      <c r="C43">
        <v>22.166699999999999</v>
      </c>
      <c r="D43">
        <v>113.55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</row>
    <row r="44" spans="1:67" x14ac:dyDescent="0.3">
      <c r="A44" s="1" t="s">
        <v>21</v>
      </c>
      <c r="B44" s="1" t="s">
        <v>202</v>
      </c>
      <c r="C44">
        <v>37.269199999999998</v>
      </c>
      <c r="D44">
        <v>106.16549999999999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</row>
    <row r="45" spans="1:67" x14ac:dyDescent="0.3">
      <c r="A45" s="1" t="s">
        <v>40</v>
      </c>
      <c r="B45" s="1" t="s">
        <v>202</v>
      </c>
      <c r="C45">
        <v>35.745199999999997</v>
      </c>
      <c r="D45">
        <v>95.995599999999996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</row>
    <row r="46" spans="1:67" x14ac:dyDescent="0.3">
      <c r="A46" s="1" t="s">
        <v>34</v>
      </c>
      <c r="B46" s="1" t="s">
        <v>202</v>
      </c>
      <c r="C46">
        <v>35.191699999999997</v>
      </c>
      <c r="D46">
        <v>108.87009999999999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2</v>
      </c>
      <c r="BD46">
        <v>2</v>
      </c>
      <c r="BE46">
        <v>2</v>
      </c>
      <c r="BF46">
        <v>2</v>
      </c>
      <c r="BG46">
        <v>2</v>
      </c>
      <c r="BH46">
        <v>3</v>
      </c>
      <c r="BI46">
        <v>3</v>
      </c>
      <c r="BJ46">
        <v>3</v>
      </c>
      <c r="BK46">
        <v>3</v>
      </c>
      <c r="BL46">
        <v>3</v>
      </c>
      <c r="BM46">
        <v>3</v>
      </c>
      <c r="BN46">
        <v>3</v>
      </c>
      <c r="BO46">
        <v>3</v>
      </c>
    </row>
    <row r="47" spans="1:67" x14ac:dyDescent="0.3">
      <c r="A47" s="1" t="s">
        <v>22</v>
      </c>
      <c r="B47" s="1" t="s">
        <v>202</v>
      </c>
      <c r="C47">
        <v>36.342700000000001</v>
      </c>
      <c r="D47">
        <v>118.1498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</v>
      </c>
      <c r="X47">
        <v>1</v>
      </c>
      <c r="Y47">
        <v>1</v>
      </c>
      <c r="Z47">
        <v>2</v>
      </c>
      <c r="AA47">
        <v>2</v>
      </c>
      <c r="AB47">
        <v>2</v>
      </c>
      <c r="AC47">
        <v>2</v>
      </c>
      <c r="AD47">
        <v>2</v>
      </c>
      <c r="AE47">
        <v>2</v>
      </c>
      <c r="AF47">
        <v>3</v>
      </c>
      <c r="AG47">
        <v>3</v>
      </c>
      <c r="AH47">
        <v>4</v>
      </c>
      <c r="AI47">
        <v>4</v>
      </c>
      <c r="AJ47">
        <v>4</v>
      </c>
      <c r="AK47">
        <v>4</v>
      </c>
      <c r="AL47">
        <v>5</v>
      </c>
      <c r="AM47">
        <v>6</v>
      </c>
      <c r="AN47">
        <v>6</v>
      </c>
      <c r="AO47">
        <v>6</v>
      </c>
      <c r="AP47">
        <v>6</v>
      </c>
      <c r="AQ47">
        <v>6</v>
      </c>
      <c r="AR47">
        <v>6</v>
      </c>
      <c r="AS47">
        <v>6</v>
      </c>
      <c r="AT47">
        <v>6</v>
      </c>
      <c r="AU47">
        <v>6</v>
      </c>
      <c r="AV47">
        <v>6</v>
      </c>
      <c r="AW47">
        <v>6</v>
      </c>
      <c r="AX47">
        <v>6</v>
      </c>
      <c r="AY47">
        <v>6</v>
      </c>
      <c r="AZ47">
        <v>6</v>
      </c>
      <c r="BA47">
        <v>6</v>
      </c>
      <c r="BB47">
        <v>6</v>
      </c>
      <c r="BC47">
        <v>6</v>
      </c>
      <c r="BD47">
        <v>7</v>
      </c>
      <c r="BE47">
        <v>7</v>
      </c>
      <c r="BF47">
        <v>7</v>
      </c>
      <c r="BG47">
        <v>7</v>
      </c>
      <c r="BH47">
        <v>7</v>
      </c>
      <c r="BI47">
        <v>7</v>
      </c>
      <c r="BJ47">
        <v>7</v>
      </c>
      <c r="BK47">
        <v>7</v>
      </c>
      <c r="BL47">
        <v>7</v>
      </c>
      <c r="BM47">
        <v>7</v>
      </c>
      <c r="BN47">
        <v>7</v>
      </c>
      <c r="BO47">
        <v>7</v>
      </c>
    </row>
    <row r="48" spans="1:67" x14ac:dyDescent="0.3">
      <c r="A48" s="1" t="s">
        <v>23</v>
      </c>
      <c r="B48" s="1" t="s">
        <v>202</v>
      </c>
      <c r="C48">
        <v>31.202000000000002</v>
      </c>
      <c r="D48">
        <v>121.4491</v>
      </c>
      <c r="E48">
        <v>0</v>
      </c>
      <c r="F48">
        <v>0</v>
      </c>
      <c r="G48">
        <v>0</v>
      </c>
      <c r="H48">
        <v>0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2</v>
      </c>
      <c r="AH48">
        <v>2</v>
      </c>
      <c r="AI48">
        <v>2</v>
      </c>
      <c r="AJ48">
        <v>3</v>
      </c>
      <c r="AK48">
        <v>3</v>
      </c>
      <c r="AL48">
        <v>3</v>
      </c>
      <c r="AM48">
        <v>3</v>
      </c>
      <c r="AN48">
        <v>3</v>
      </c>
      <c r="AO48">
        <v>3</v>
      </c>
      <c r="AP48">
        <v>3</v>
      </c>
      <c r="AQ48">
        <v>3</v>
      </c>
      <c r="AR48">
        <v>3</v>
      </c>
      <c r="AS48">
        <v>3</v>
      </c>
      <c r="AT48">
        <v>3</v>
      </c>
      <c r="AU48">
        <v>3</v>
      </c>
      <c r="AV48">
        <v>3</v>
      </c>
      <c r="AW48">
        <v>3</v>
      </c>
      <c r="AX48">
        <v>3</v>
      </c>
      <c r="AY48">
        <v>3</v>
      </c>
      <c r="AZ48">
        <v>3</v>
      </c>
      <c r="BA48">
        <v>3</v>
      </c>
      <c r="BB48">
        <v>3</v>
      </c>
      <c r="BC48">
        <v>3</v>
      </c>
      <c r="BD48">
        <v>3</v>
      </c>
      <c r="BE48">
        <v>3</v>
      </c>
      <c r="BF48">
        <v>3</v>
      </c>
      <c r="BG48">
        <v>3</v>
      </c>
      <c r="BH48">
        <v>3</v>
      </c>
      <c r="BI48">
        <v>3</v>
      </c>
      <c r="BJ48">
        <v>3</v>
      </c>
      <c r="BK48">
        <v>3</v>
      </c>
      <c r="BL48">
        <v>3</v>
      </c>
      <c r="BM48">
        <v>4</v>
      </c>
      <c r="BN48">
        <v>4</v>
      </c>
      <c r="BO48">
        <v>4</v>
      </c>
    </row>
    <row r="49" spans="1:67" x14ac:dyDescent="0.3">
      <c r="A49" s="1" t="s">
        <v>24</v>
      </c>
      <c r="B49" s="1" t="s">
        <v>202</v>
      </c>
      <c r="C49">
        <v>37.5777</v>
      </c>
      <c r="D49">
        <v>112.29219999999999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</row>
    <row r="50" spans="1:67" x14ac:dyDescent="0.3">
      <c r="A50" s="1" t="s">
        <v>25</v>
      </c>
      <c r="B50" s="1" t="s">
        <v>202</v>
      </c>
      <c r="C50">
        <v>30.617100000000001</v>
      </c>
      <c r="D50">
        <v>102.7103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3</v>
      </c>
      <c r="AE50">
        <v>3</v>
      </c>
      <c r="AF50">
        <v>3</v>
      </c>
      <c r="AG50">
        <v>3</v>
      </c>
      <c r="AH50">
        <v>3</v>
      </c>
      <c r="AI50">
        <v>3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3</v>
      </c>
      <c r="BD50">
        <v>3</v>
      </c>
      <c r="BE50">
        <v>3</v>
      </c>
      <c r="BF50">
        <v>3</v>
      </c>
      <c r="BG50">
        <v>3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3</v>
      </c>
      <c r="BN50">
        <v>3</v>
      </c>
      <c r="BO50">
        <v>3</v>
      </c>
    </row>
    <row r="51" spans="1:67" x14ac:dyDescent="0.3">
      <c r="A51" s="1" t="s">
        <v>26</v>
      </c>
      <c r="B51" s="1" t="s">
        <v>202</v>
      </c>
      <c r="C51">
        <v>39.305399999999999</v>
      </c>
      <c r="D51">
        <v>117.32299999999999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2</v>
      </c>
      <c r="Z51">
        <v>2</v>
      </c>
      <c r="AA51">
        <v>3</v>
      </c>
      <c r="AB51">
        <v>3</v>
      </c>
      <c r="AC51">
        <v>3</v>
      </c>
      <c r="AD51">
        <v>3</v>
      </c>
      <c r="AE51">
        <v>3</v>
      </c>
      <c r="AF51">
        <v>3</v>
      </c>
      <c r="AG51">
        <v>3</v>
      </c>
      <c r="AH51">
        <v>3</v>
      </c>
      <c r="AI51">
        <v>3</v>
      </c>
      <c r="AJ51">
        <v>3</v>
      </c>
      <c r="AK51">
        <v>3</v>
      </c>
      <c r="AL51">
        <v>3</v>
      </c>
      <c r="AM51">
        <v>3</v>
      </c>
      <c r="AN51">
        <v>3</v>
      </c>
      <c r="AO51">
        <v>3</v>
      </c>
      <c r="AP51">
        <v>3</v>
      </c>
      <c r="AQ51">
        <v>3</v>
      </c>
      <c r="AR51">
        <v>3</v>
      </c>
      <c r="AS51">
        <v>3</v>
      </c>
      <c r="AT51">
        <v>3</v>
      </c>
      <c r="AU51">
        <v>3</v>
      </c>
      <c r="AV51">
        <v>3</v>
      </c>
      <c r="AW51">
        <v>3</v>
      </c>
      <c r="AX51">
        <v>3</v>
      </c>
      <c r="AY51">
        <v>3</v>
      </c>
      <c r="AZ51">
        <v>3</v>
      </c>
      <c r="BA51">
        <v>3</v>
      </c>
      <c r="BB51">
        <v>3</v>
      </c>
      <c r="BC51">
        <v>3</v>
      </c>
      <c r="BD51">
        <v>3</v>
      </c>
      <c r="BE51">
        <v>3</v>
      </c>
      <c r="BF51">
        <v>3</v>
      </c>
      <c r="BG51">
        <v>3</v>
      </c>
      <c r="BH51">
        <v>3</v>
      </c>
      <c r="BI51">
        <v>3</v>
      </c>
      <c r="BJ51">
        <v>3</v>
      </c>
      <c r="BK51">
        <v>3</v>
      </c>
      <c r="BL51">
        <v>3</v>
      </c>
      <c r="BM51">
        <v>3</v>
      </c>
      <c r="BN51">
        <v>3</v>
      </c>
      <c r="BO51">
        <v>3</v>
      </c>
    </row>
    <row r="52" spans="1:67" x14ac:dyDescent="0.3">
      <c r="A52" s="1" t="s">
        <v>54</v>
      </c>
      <c r="B52" s="1" t="s">
        <v>202</v>
      </c>
      <c r="C52">
        <v>31.692699999999999</v>
      </c>
      <c r="D52">
        <v>88.092399999999998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</row>
    <row r="53" spans="1:67" x14ac:dyDescent="0.3">
      <c r="A53" s="1" t="s">
        <v>35</v>
      </c>
      <c r="B53" s="1" t="s">
        <v>202</v>
      </c>
      <c r="C53">
        <v>41.112900000000003</v>
      </c>
      <c r="D53">
        <v>85.240099999999998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3</v>
      </c>
      <c r="AQ53">
        <v>3</v>
      </c>
      <c r="AR53">
        <v>3</v>
      </c>
      <c r="AS53">
        <v>3</v>
      </c>
      <c r="AT53">
        <v>3</v>
      </c>
      <c r="AU53">
        <v>3</v>
      </c>
      <c r="AV53">
        <v>3</v>
      </c>
      <c r="AW53">
        <v>3</v>
      </c>
      <c r="AX53">
        <v>3</v>
      </c>
      <c r="AY53">
        <v>3</v>
      </c>
      <c r="AZ53">
        <v>3</v>
      </c>
      <c r="BA53">
        <v>3</v>
      </c>
      <c r="BB53">
        <v>3</v>
      </c>
      <c r="BC53">
        <v>3</v>
      </c>
      <c r="BD53">
        <v>3</v>
      </c>
      <c r="BE53">
        <v>3</v>
      </c>
      <c r="BF53">
        <v>3</v>
      </c>
      <c r="BG53">
        <v>3</v>
      </c>
      <c r="BH53">
        <v>3</v>
      </c>
      <c r="BI53">
        <v>3</v>
      </c>
      <c r="BJ53">
        <v>3</v>
      </c>
      <c r="BK53">
        <v>3</v>
      </c>
      <c r="BL53">
        <v>3</v>
      </c>
      <c r="BM53">
        <v>3</v>
      </c>
      <c r="BN53">
        <v>3</v>
      </c>
      <c r="BO53">
        <v>3</v>
      </c>
    </row>
    <row r="54" spans="1:67" x14ac:dyDescent="0.3">
      <c r="A54" s="1" t="s">
        <v>27</v>
      </c>
      <c r="B54" s="1" t="s">
        <v>202</v>
      </c>
      <c r="C54">
        <v>24.974</v>
      </c>
      <c r="D54">
        <v>101.48699999999999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1</v>
      </c>
      <c r="AH54">
        <v>2</v>
      </c>
      <c r="AI54">
        <v>2</v>
      </c>
      <c r="AJ54">
        <v>2</v>
      </c>
      <c r="AK54">
        <v>2</v>
      </c>
      <c r="AL54">
        <v>2</v>
      </c>
      <c r="AM54">
        <v>2</v>
      </c>
      <c r="AN54">
        <v>2</v>
      </c>
      <c r="AO54">
        <v>2</v>
      </c>
      <c r="AP54">
        <v>2</v>
      </c>
      <c r="AQ54">
        <v>2</v>
      </c>
      <c r="AR54">
        <v>2</v>
      </c>
      <c r="AS54">
        <v>2</v>
      </c>
      <c r="AT54">
        <v>2</v>
      </c>
      <c r="AU54">
        <v>2</v>
      </c>
      <c r="AV54">
        <v>2</v>
      </c>
      <c r="AW54">
        <v>2</v>
      </c>
      <c r="AX54">
        <v>2</v>
      </c>
      <c r="AY54">
        <v>2</v>
      </c>
      <c r="AZ54">
        <v>2</v>
      </c>
      <c r="BA54">
        <v>2</v>
      </c>
      <c r="BB54">
        <v>2</v>
      </c>
      <c r="BC54">
        <v>2</v>
      </c>
      <c r="BD54">
        <v>2</v>
      </c>
      <c r="BE54">
        <v>2</v>
      </c>
      <c r="BF54">
        <v>2</v>
      </c>
      <c r="BG54">
        <v>2</v>
      </c>
      <c r="BH54">
        <v>2</v>
      </c>
      <c r="BI54">
        <v>2</v>
      </c>
      <c r="BJ54">
        <v>2</v>
      </c>
      <c r="BK54">
        <v>2</v>
      </c>
      <c r="BL54">
        <v>2</v>
      </c>
      <c r="BM54">
        <v>2</v>
      </c>
      <c r="BN54">
        <v>2</v>
      </c>
      <c r="BO54">
        <v>2</v>
      </c>
    </row>
    <row r="55" spans="1:67" x14ac:dyDescent="0.3">
      <c r="A55" s="1" t="s">
        <v>28</v>
      </c>
      <c r="B55" s="1" t="s">
        <v>202</v>
      </c>
      <c r="C55">
        <v>29.183199999999999</v>
      </c>
      <c r="D55">
        <v>120.0934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</row>
    <row r="56" spans="1:67" x14ac:dyDescent="0.3">
      <c r="A56" s="1" t="s">
        <v>110</v>
      </c>
      <c r="B56" s="1" t="s">
        <v>79</v>
      </c>
      <c r="C56">
        <v>61.892600000000002</v>
      </c>
      <c r="D56">
        <v>-6.9118000000000004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</row>
    <row r="57" spans="1:67" x14ac:dyDescent="0.3">
      <c r="A57" s="1" t="s">
        <v>318</v>
      </c>
      <c r="B57" s="1" t="s">
        <v>79</v>
      </c>
      <c r="C57">
        <v>71.706900000000005</v>
      </c>
      <c r="D57">
        <v>-42.604300000000002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</row>
    <row r="58" spans="1:67" x14ac:dyDescent="0.3">
      <c r="A58" s="1" t="s">
        <v>136</v>
      </c>
      <c r="B58" s="1" t="s">
        <v>79</v>
      </c>
      <c r="C58">
        <v>56.2639</v>
      </c>
      <c r="D58">
        <v>9.5017999999999994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</v>
      </c>
      <c r="BF58">
        <v>2</v>
      </c>
      <c r="BG58">
        <v>3</v>
      </c>
      <c r="BH58">
        <v>4</v>
      </c>
      <c r="BI58">
        <v>4</v>
      </c>
      <c r="BJ58">
        <v>6</v>
      </c>
      <c r="BK58">
        <v>9</v>
      </c>
      <c r="BL58">
        <v>13</v>
      </c>
      <c r="BM58">
        <v>13</v>
      </c>
      <c r="BN58">
        <v>24</v>
      </c>
      <c r="BO58">
        <v>32</v>
      </c>
    </row>
    <row r="59" spans="1:67" x14ac:dyDescent="0.3">
      <c r="A59" s="1" t="s">
        <v>129</v>
      </c>
      <c r="B59" s="1" t="s">
        <v>36</v>
      </c>
      <c r="C59">
        <v>3.9339</v>
      </c>
      <c r="D59">
        <v>-53.125799999999998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</row>
    <row r="60" spans="1:67" x14ac:dyDescent="0.3">
      <c r="A60" s="1" t="s">
        <v>282</v>
      </c>
      <c r="B60" s="1" t="s">
        <v>36</v>
      </c>
      <c r="C60">
        <v>-17.6797</v>
      </c>
      <c r="D60">
        <v>149.4068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</row>
    <row r="61" spans="1:67" x14ac:dyDescent="0.3">
      <c r="A61" s="1" t="s">
        <v>284</v>
      </c>
      <c r="B61" s="1" t="s">
        <v>36</v>
      </c>
      <c r="C61">
        <v>16.25</v>
      </c>
      <c r="D61">
        <v>-61.583300000000001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1</v>
      </c>
      <c r="BN61">
        <v>1</v>
      </c>
      <c r="BO61">
        <v>1</v>
      </c>
    </row>
    <row r="62" spans="1:67" x14ac:dyDescent="0.3">
      <c r="A62" s="1" t="s">
        <v>313</v>
      </c>
      <c r="B62" s="1" t="s">
        <v>36</v>
      </c>
      <c r="C62">
        <v>-12.827500000000001</v>
      </c>
      <c r="D62">
        <v>45.166200000000003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</row>
    <row r="63" spans="1:67" x14ac:dyDescent="0.3">
      <c r="A63" s="1" t="s">
        <v>375</v>
      </c>
      <c r="B63" s="1" t="s">
        <v>36</v>
      </c>
      <c r="C63">
        <v>-20.904299999999999</v>
      </c>
      <c r="D63">
        <v>165.61799999999999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</row>
    <row r="64" spans="1:67" x14ac:dyDescent="0.3">
      <c r="A64" s="1" t="s">
        <v>215</v>
      </c>
      <c r="B64" s="1" t="s">
        <v>36</v>
      </c>
      <c r="C64">
        <v>-21.135100000000001</v>
      </c>
      <c r="D64">
        <v>55.247100000000003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</row>
    <row r="65" spans="1:67" x14ac:dyDescent="0.3">
      <c r="A65" s="1" t="s">
        <v>115</v>
      </c>
      <c r="B65" s="1" t="s">
        <v>36</v>
      </c>
      <c r="C65">
        <v>17.899999999999999</v>
      </c>
      <c r="D65">
        <v>-62.833300000000001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</row>
    <row r="66" spans="1:67" x14ac:dyDescent="0.3">
      <c r="A66" s="1" t="s">
        <v>211</v>
      </c>
      <c r="B66" s="1" t="s">
        <v>36</v>
      </c>
      <c r="C66">
        <v>18.070799999999998</v>
      </c>
      <c r="D66">
        <v>-63.0501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</row>
    <row r="67" spans="1:67" x14ac:dyDescent="0.3">
      <c r="A67" s="1" t="s">
        <v>131</v>
      </c>
      <c r="B67" s="1" t="s">
        <v>36</v>
      </c>
      <c r="C67">
        <v>14.641500000000001</v>
      </c>
      <c r="D67">
        <v>-61.0242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1</v>
      </c>
      <c r="BH67">
        <v>1</v>
      </c>
      <c r="BI67">
        <v>1</v>
      </c>
      <c r="BJ67">
        <v>1</v>
      </c>
      <c r="BK67">
        <v>1</v>
      </c>
      <c r="BL67">
        <v>1</v>
      </c>
      <c r="BM67">
        <v>1</v>
      </c>
      <c r="BN67">
        <v>1</v>
      </c>
      <c r="BO67">
        <v>1</v>
      </c>
    </row>
    <row r="68" spans="1:67" x14ac:dyDescent="0.3">
      <c r="A68" s="1" t="s">
        <v>136</v>
      </c>
      <c r="B68" s="1" t="s">
        <v>36</v>
      </c>
      <c r="C68">
        <v>46.227600000000002</v>
      </c>
      <c r="D68">
        <v>2.2136999999999998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2</v>
      </c>
      <c r="AO68">
        <v>2</v>
      </c>
      <c r="AP68">
        <v>2</v>
      </c>
      <c r="AQ68">
        <v>2</v>
      </c>
      <c r="AR68">
        <v>2</v>
      </c>
      <c r="AS68">
        <v>3</v>
      </c>
      <c r="AT68">
        <v>4</v>
      </c>
      <c r="AU68">
        <v>4</v>
      </c>
      <c r="AV68">
        <v>6</v>
      </c>
      <c r="AW68">
        <v>9</v>
      </c>
      <c r="AX68">
        <v>11</v>
      </c>
      <c r="AY68">
        <v>19</v>
      </c>
      <c r="AZ68">
        <v>19</v>
      </c>
      <c r="BA68">
        <v>33</v>
      </c>
      <c r="BB68">
        <v>48</v>
      </c>
      <c r="BC68">
        <v>48</v>
      </c>
      <c r="BD68">
        <v>79</v>
      </c>
      <c r="BE68">
        <v>91</v>
      </c>
      <c r="BF68">
        <v>91</v>
      </c>
      <c r="BG68">
        <v>148</v>
      </c>
      <c r="BH68">
        <v>148</v>
      </c>
      <c r="BI68">
        <v>148</v>
      </c>
      <c r="BJ68">
        <v>243</v>
      </c>
      <c r="BK68">
        <v>450</v>
      </c>
      <c r="BL68">
        <v>562</v>
      </c>
      <c r="BM68">
        <v>674</v>
      </c>
      <c r="BN68">
        <v>860</v>
      </c>
      <c r="BO68">
        <v>1100</v>
      </c>
    </row>
    <row r="69" spans="1:67" x14ac:dyDescent="0.3">
      <c r="A69" s="1" t="s">
        <v>136</v>
      </c>
      <c r="B69" s="1" t="s">
        <v>46</v>
      </c>
      <c r="C69">
        <v>51</v>
      </c>
      <c r="D69">
        <v>9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2</v>
      </c>
      <c r="BA69">
        <v>2</v>
      </c>
      <c r="BB69">
        <v>3</v>
      </c>
      <c r="BC69">
        <v>3</v>
      </c>
      <c r="BD69">
        <v>7</v>
      </c>
      <c r="BE69">
        <v>9</v>
      </c>
      <c r="BF69">
        <v>11</v>
      </c>
      <c r="BG69">
        <v>17</v>
      </c>
      <c r="BH69">
        <v>24</v>
      </c>
      <c r="BI69">
        <v>28</v>
      </c>
      <c r="BJ69">
        <v>44</v>
      </c>
      <c r="BK69">
        <v>67</v>
      </c>
      <c r="BL69">
        <v>84</v>
      </c>
      <c r="BM69">
        <v>94</v>
      </c>
      <c r="BN69">
        <v>123</v>
      </c>
      <c r="BO69">
        <v>157</v>
      </c>
    </row>
    <row r="70" spans="1:67" x14ac:dyDescent="0.3">
      <c r="A70" s="1" t="s">
        <v>136</v>
      </c>
      <c r="B70" s="1" t="s">
        <v>203</v>
      </c>
      <c r="C70">
        <v>32</v>
      </c>
      <c r="D70">
        <v>53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2</v>
      </c>
      <c r="AH70">
        <v>2</v>
      </c>
      <c r="AI70">
        <v>4</v>
      </c>
      <c r="AJ70">
        <v>5</v>
      </c>
      <c r="AK70">
        <v>8</v>
      </c>
      <c r="AL70">
        <v>12</v>
      </c>
      <c r="AM70">
        <v>16</v>
      </c>
      <c r="AN70">
        <v>19</v>
      </c>
      <c r="AO70">
        <v>26</v>
      </c>
      <c r="AP70">
        <v>34</v>
      </c>
      <c r="AQ70">
        <v>43</v>
      </c>
      <c r="AR70">
        <v>54</v>
      </c>
      <c r="AS70">
        <v>66</v>
      </c>
      <c r="AT70">
        <v>77</v>
      </c>
      <c r="AU70">
        <v>92</v>
      </c>
      <c r="AV70">
        <v>107</v>
      </c>
      <c r="AW70">
        <v>124</v>
      </c>
      <c r="AX70">
        <v>145</v>
      </c>
      <c r="AY70">
        <v>194</v>
      </c>
      <c r="AZ70">
        <v>237</v>
      </c>
      <c r="BA70">
        <v>291</v>
      </c>
      <c r="BB70">
        <v>354</v>
      </c>
      <c r="BC70">
        <v>429</v>
      </c>
      <c r="BD70">
        <v>514</v>
      </c>
      <c r="BE70">
        <v>611</v>
      </c>
      <c r="BF70">
        <v>724</v>
      </c>
      <c r="BG70">
        <v>853</v>
      </c>
      <c r="BH70">
        <v>988</v>
      </c>
      <c r="BI70">
        <v>1135</v>
      </c>
      <c r="BJ70">
        <v>1284</v>
      </c>
      <c r="BK70">
        <v>1433</v>
      </c>
      <c r="BL70">
        <v>1556</v>
      </c>
      <c r="BM70">
        <v>1685</v>
      </c>
      <c r="BN70">
        <v>1812</v>
      </c>
      <c r="BO70">
        <v>1934</v>
      </c>
    </row>
    <row r="71" spans="1:67" x14ac:dyDescent="0.3">
      <c r="A71" s="1" t="s">
        <v>136</v>
      </c>
      <c r="B71" s="1" t="s">
        <v>55</v>
      </c>
      <c r="C71">
        <v>43</v>
      </c>
      <c r="D71">
        <v>12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1</v>
      </c>
      <c r="AJ71">
        <v>2</v>
      </c>
      <c r="AK71">
        <v>3</v>
      </c>
      <c r="AL71">
        <v>7</v>
      </c>
      <c r="AM71">
        <v>10</v>
      </c>
      <c r="AN71">
        <v>12</v>
      </c>
      <c r="AO71">
        <v>17</v>
      </c>
      <c r="AP71">
        <v>21</v>
      </c>
      <c r="AQ71">
        <v>29</v>
      </c>
      <c r="AR71">
        <v>34</v>
      </c>
      <c r="AS71">
        <v>52</v>
      </c>
      <c r="AT71">
        <v>79</v>
      </c>
      <c r="AU71">
        <v>107</v>
      </c>
      <c r="AV71">
        <v>148</v>
      </c>
      <c r="AW71">
        <v>197</v>
      </c>
      <c r="AX71">
        <v>233</v>
      </c>
      <c r="AY71">
        <v>366</v>
      </c>
      <c r="AZ71">
        <v>463</v>
      </c>
      <c r="BA71">
        <v>631</v>
      </c>
      <c r="BB71">
        <v>827</v>
      </c>
      <c r="BC71">
        <v>827</v>
      </c>
      <c r="BD71">
        <v>1266</v>
      </c>
      <c r="BE71">
        <v>1441</v>
      </c>
      <c r="BF71">
        <v>1809</v>
      </c>
      <c r="BG71">
        <v>2158</v>
      </c>
      <c r="BH71">
        <v>2503</v>
      </c>
      <c r="BI71">
        <v>2978</v>
      </c>
      <c r="BJ71">
        <v>3405</v>
      </c>
      <c r="BK71">
        <v>4032</v>
      </c>
      <c r="BL71">
        <v>4825</v>
      </c>
      <c r="BM71">
        <v>5476</v>
      </c>
      <c r="BN71">
        <v>6077</v>
      </c>
      <c r="BO71">
        <v>6820</v>
      </c>
    </row>
    <row r="72" spans="1:67" x14ac:dyDescent="0.3">
      <c r="A72" s="1" t="s">
        <v>136</v>
      </c>
      <c r="B72" s="1" t="s">
        <v>2</v>
      </c>
      <c r="C72">
        <v>36</v>
      </c>
      <c r="D72">
        <v>138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1</v>
      </c>
      <c r="AL72">
        <v>1</v>
      </c>
      <c r="AM72">
        <v>1</v>
      </c>
      <c r="AN72">
        <v>2</v>
      </c>
      <c r="AO72">
        <v>4</v>
      </c>
      <c r="AP72">
        <v>4</v>
      </c>
      <c r="AQ72">
        <v>5</v>
      </c>
      <c r="AR72">
        <v>6</v>
      </c>
      <c r="AS72">
        <v>6</v>
      </c>
      <c r="AT72">
        <v>6</v>
      </c>
      <c r="AU72">
        <v>6</v>
      </c>
      <c r="AV72">
        <v>6</v>
      </c>
      <c r="AW72">
        <v>6</v>
      </c>
      <c r="AX72">
        <v>6</v>
      </c>
      <c r="AY72">
        <v>6</v>
      </c>
      <c r="AZ72">
        <v>10</v>
      </c>
      <c r="BA72">
        <v>10</v>
      </c>
      <c r="BB72">
        <v>15</v>
      </c>
      <c r="BC72">
        <v>16</v>
      </c>
      <c r="BD72">
        <v>19</v>
      </c>
      <c r="BE72">
        <v>22</v>
      </c>
      <c r="BF72">
        <v>22</v>
      </c>
      <c r="BG72">
        <v>27</v>
      </c>
      <c r="BH72">
        <v>29</v>
      </c>
      <c r="BI72">
        <v>29</v>
      </c>
      <c r="BJ72">
        <v>29</v>
      </c>
      <c r="BK72">
        <v>33</v>
      </c>
      <c r="BL72">
        <v>35</v>
      </c>
      <c r="BM72">
        <v>41</v>
      </c>
      <c r="BN72">
        <v>42</v>
      </c>
      <c r="BO72">
        <v>43</v>
      </c>
    </row>
    <row r="73" spans="1:67" x14ac:dyDescent="0.3">
      <c r="A73" s="1" t="s">
        <v>136</v>
      </c>
      <c r="B73" s="1" t="s">
        <v>204</v>
      </c>
      <c r="C73">
        <v>36</v>
      </c>
      <c r="D73">
        <v>128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1</v>
      </c>
      <c r="AI73">
        <v>2</v>
      </c>
      <c r="AJ73">
        <v>2</v>
      </c>
      <c r="AK73">
        <v>6</v>
      </c>
      <c r="AL73">
        <v>8</v>
      </c>
      <c r="AM73">
        <v>10</v>
      </c>
      <c r="AN73">
        <v>12</v>
      </c>
      <c r="AO73">
        <v>13</v>
      </c>
      <c r="AP73">
        <v>13</v>
      </c>
      <c r="AQ73">
        <v>16</v>
      </c>
      <c r="AR73">
        <v>17</v>
      </c>
      <c r="AS73">
        <v>28</v>
      </c>
      <c r="AT73">
        <v>28</v>
      </c>
      <c r="AU73">
        <v>35</v>
      </c>
      <c r="AV73">
        <v>35</v>
      </c>
      <c r="AW73">
        <v>42</v>
      </c>
      <c r="AX73">
        <v>44</v>
      </c>
      <c r="AY73">
        <v>50</v>
      </c>
      <c r="AZ73">
        <v>53</v>
      </c>
      <c r="BA73">
        <v>54</v>
      </c>
      <c r="BB73">
        <v>60</v>
      </c>
      <c r="BC73">
        <v>66</v>
      </c>
      <c r="BD73">
        <v>66</v>
      </c>
      <c r="BE73">
        <v>72</v>
      </c>
      <c r="BF73">
        <v>75</v>
      </c>
      <c r="BG73">
        <v>75</v>
      </c>
      <c r="BH73">
        <v>81</v>
      </c>
      <c r="BI73">
        <v>84</v>
      </c>
      <c r="BJ73">
        <v>91</v>
      </c>
      <c r="BK73">
        <v>94</v>
      </c>
      <c r="BL73">
        <v>102</v>
      </c>
      <c r="BM73">
        <v>111</v>
      </c>
      <c r="BN73">
        <v>111</v>
      </c>
      <c r="BO73">
        <v>120</v>
      </c>
    </row>
    <row r="74" spans="1:67" x14ac:dyDescent="0.3">
      <c r="A74" s="1" t="s">
        <v>387</v>
      </c>
      <c r="B74" s="1" t="s">
        <v>205</v>
      </c>
      <c r="C74">
        <v>32.3078</v>
      </c>
      <c r="D74">
        <v>-64.750500000000002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</row>
    <row r="75" spans="1:67" x14ac:dyDescent="0.3">
      <c r="A75" s="1" t="s">
        <v>283</v>
      </c>
      <c r="B75" s="1" t="s">
        <v>205</v>
      </c>
      <c r="C75">
        <v>19.313300000000002</v>
      </c>
      <c r="D75">
        <v>-81.254599999999996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</v>
      </c>
      <c r="BH75">
        <v>1</v>
      </c>
      <c r="BI75">
        <v>1</v>
      </c>
      <c r="BJ75">
        <v>1</v>
      </c>
      <c r="BK75">
        <v>1</v>
      </c>
      <c r="BL75">
        <v>1</v>
      </c>
      <c r="BM75">
        <v>1</v>
      </c>
      <c r="BN75">
        <v>1</v>
      </c>
      <c r="BO75">
        <v>1</v>
      </c>
    </row>
    <row r="76" spans="1:67" x14ac:dyDescent="0.3">
      <c r="A76" s="1" t="s">
        <v>147</v>
      </c>
      <c r="B76" s="1" t="s">
        <v>205</v>
      </c>
      <c r="C76">
        <v>49.372300000000003</v>
      </c>
      <c r="D76">
        <v>-2.3643999999999998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</row>
    <row r="77" spans="1:67" x14ac:dyDescent="0.3">
      <c r="A77" s="1" t="s">
        <v>111</v>
      </c>
      <c r="B77" s="1" t="s">
        <v>205</v>
      </c>
      <c r="C77">
        <v>36.140799999999999</v>
      </c>
      <c r="D77">
        <v>-5.3536000000000001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</row>
    <row r="78" spans="1:67" x14ac:dyDescent="0.3">
      <c r="A78" s="1" t="s">
        <v>385</v>
      </c>
      <c r="B78" s="1" t="s">
        <v>205</v>
      </c>
      <c r="C78">
        <v>54.2361</v>
      </c>
      <c r="D78">
        <v>-4.5480999999999998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</row>
    <row r="79" spans="1:67" x14ac:dyDescent="0.3">
      <c r="A79" s="1" t="s">
        <v>406</v>
      </c>
      <c r="B79" s="1" t="s">
        <v>205</v>
      </c>
      <c r="C79">
        <v>16.7425</v>
      </c>
      <c r="D79">
        <v>-62.187399999999997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</row>
    <row r="80" spans="1:67" x14ac:dyDescent="0.3">
      <c r="A80" s="1" t="s">
        <v>136</v>
      </c>
      <c r="B80" s="1" t="s">
        <v>205</v>
      </c>
      <c r="C80">
        <v>55.378100000000003</v>
      </c>
      <c r="D80">
        <v>-3.4359999999999999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1</v>
      </c>
      <c r="AW80">
        <v>2</v>
      </c>
      <c r="AX80">
        <v>2</v>
      </c>
      <c r="AY80">
        <v>3</v>
      </c>
      <c r="AZ80">
        <v>4</v>
      </c>
      <c r="BA80">
        <v>6</v>
      </c>
      <c r="BB80">
        <v>8</v>
      </c>
      <c r="BC80">
        <v>8</v>
      </c>
      <c r="BD80">
        <v>8</v>
      </c>
      <c r="BE80">
        <v>21</v>
      </c>
      <c r="BF80">
        <v>21</v>
      </c>
      <c r="BG80">
        <v>55</v>
      </c>
      <c r="BH80">
        <v>55</v>
      </c>
      <c r="BI80">
        <v>71</v>
      </c>
      <c r="BJ80">
        <v>137</v>
      </c>
      <c r="BK80">
        <v>177</v>
      </c>
      <c r="BL80">
        <v>233</v>
      </c>
      <c r="BM80">
        <v>281</v>
      </c>
      <c r="BN80">
        <v>335</v>
      </c>
      <c r="BO80">
        <v>422</v>
      </c>
    </row>
    <row r="81" spans="1:67" x14ac:dyDescent="0.3">
      <c r="A81" s="1" t="s">
        <v>136</v>
      </c>
      <c r="B81" s="1" t="s">
        <v>18</v>
      </c>
      <c r="C81">
        <v>37.090200000000003</v>
      </c>
      <c r="D81">
        <v>-95.712900000000005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1</v>
      </c>
      <c r="AR81">
        <v>1</v>
      </c>
      <c r="AS81">
        <v>6</v>
      </c>
      <c r="AT81">
        <v>7</v>
      </c>
      <c r="AU81">
        <v>11</v>
      </c>
      <c r="AV81">
        <v>12</v>
      </c>
      <c r="AW81">
        <v>14</v>
      </c>
      <c r="AX81">
        <v>17</v>
      </c>
      <c r="AY81">
        <v>21</v>
      </c>
      <c r="AZ81">
        <v>22</v>
      </c>
      <c r="BA81">
        <v>28</v>
      </c>
      <c r="BB81">
        <v>36</v>
      </c>
      <c r="BC81">
        <v>40</v>
      </c>
      <c r="BD81">
        <v>47</v>
      </c>
      <c r="BE81">
        <v>54</v>
      </c>
      <c r="BF81">
        <v>63</v>
      </c>
      <c r="BG81">
        <v>85</v>
      </c>
      <c r="BH81">
        <v>108</v>
      </c>
      <c r="BI81">
        <v>118</v>
      </c>
      <c r="BJ81">
        <v>200</v>
      </c>
      <c r="BK81">
        <v>244</v>
      </c>
      <c r="BL81">
        <v>307</v>
      </c>
      <c r="BM81">
        <v>417</v>
      </c>
      <c r="BN81">
        <v>557</v>
      </c>
      <c r="BO81">
        <v>706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0B8D1-B286-4EE7-AE52-8EB8A8A5D2D6}">
  <sheetPr codeName="Sheet3"/>
  <dimension ref="A1:BL13"/>
  <sheetViews>
    <sheetView workbookViewId="0">
      <selection activeCell="AQ82" sqref="AQ82"/>
    </sheetView>
  </sheetViews>
  <sheetFormatPr defaultRowHeight="14.4" x14ac:dyDescent="0.3"/>
  <cols>
    <col min="1" max="1" width="16.77734375" bestFit="1" customWidth="1"/>
    <col min="2" max="38" width="12" bestFit="1" customWidth="1"/>
    <col min="39" max="39" width="11" bestFit="1" customWidth="1"/>
    <col min="40" max="43" width="12" bestFit="1" customWidth="1"/>
    <col min="44" max="44" width="11" bestFit="1" customWidth="1"/>
    <col min="45" max="51" width="12" bestFit="1" customWidth="1"/>
    <col min="52" max="52" width="10" bestFit="1" customWidth="1"/>
    <col min="53" max="56" width="12" bestFit="1" customWidth="1"/>
    <col min="57" max="63" width="12" customWidth="1"/>
    <col min="64" max="64" width="11" bestFit="1" customWidth="1"/>
  </cols>
  <sheetData>
    <row r="1" spans="1:64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</row>
    <row r="2" spans="1:64" x14ac:dyDescent="0.3">
      <c r="A2" s="1" t="s">
        <v>42</v>
      </c>
      <c r="B2">
        <v>4.196097519502441</v>
      </c>
      <c r="C2">
        <v>5.0196306775356305</v>
      </c>
      <c r="D2">
        <v>5.0196306775356305</v>
      </c>
      <c r="E2">
        <v>7.8431729336494236</v>
      </c>
      <c r="F2">
        <v>9.8039661670617786</v>
      </c>
      <c r="G2">
        <v>11.647111806469393</v>
      </c>
      <c r="H2">
        <v>14.784380979929162</v>
      </c>
      <c r="I2">
        <v>17.725570830047698</v>
      </c>
      <c r="J2">
        <v>22.274611131564363</v>
      </c>
      <c r="K2">
        <v>26.706003839076285</v>
      </c>
      <c r="L2">
        <v>31.01974895258347</v>
      </c>
      <c r="M2">
        <v>42.000191059692661</v>
      </c>
      <c r="N2">
        <v>60.745374371114785</v>
      </c>
      <c r="O2">
        <v>65.961084371991646</v>
      </c>
      <c r="P2">
        <v>80.157227381897101</v>
      </c>
    </row>
    <row r="3" spans="1:64" x14ac:dyDescent="0.3">
      <c r="A3" s="1" t="s">
        <v>43</v>
      </c>
      <c r="B3">
        <v>2.8615218940604183</v>
      </c>
      <c r="C3">
        <v>3.0999820518987868</v>
      </c>
      <c r="D3">
        <v>5.1136456069783405</v>
      </c>
      <c r="E3">
        <v>5.2461234724441006</v>
      </c>
      <c r="F3">
        <v>6.6768844194743098</v>
      </c>
      <c r="G3">
        <v>10.995662833658089</v>
      </c>
      <c r="H3">
        <v>12.664883938526668</v>
      </c>
      <c r="I3">
        <v>17.407591522200878</v>
      </c>
      <c r="J3">
        <v>21.19645847452162</v>
      </c>
      <c r="K3">
        <v>24.985325426842358</v>
      </c>
      <c r="L3">
        <v>33.834846839955134</v>
      </c>
      <c r="M3">
        <v>38.921996873840321</v>
      </c>
      <c r="N3">
        <v>55.322756618501423</v>
      </c>
      <c r="O3">
        <v>73.922648929894152</v>
      </c>
    </row>
    <row r="4" spans="1:64" x14ac:dyDescent="0.3">
      <c r="A4" s="1" t="s">
        <v>202</v>
      </c>
      <c r="B4">
        <v>0.3807343484055668</v>
      </c>
      <c r="C4">
        <v>0.44673756573864865</v>
      </c>
      <c r="D4">
        <v>0.6391890520677399</v>
      </c>
      <c r="E4">
        <v>0.97684761652961127</v>
      </c>
      <c r="F4">
        <v>1.4416492206962612</v>
      </c>
      <c r="G4">
        <v>1.9988553291292259</v>
      </c>
      <c r="H4">
        <v>3.8274918346099773</v>
      </c>
      <c r="I4">
        <v>4.2290693042786227</v>
      </c>
      <c r="J4">
        <v>5.6561283400907287</v>
      </c>
      <c r="K4">
        <v>6.8101424873565071</v>
      </c>
      <c r="L4">
        <v>8.2615184979755387</v>
      </c>
      <c r="M4">
        <v>11.554036886833169</v>
      </c>
      <c r="N4">
        <v>13.698099294095174</v>
      </c>
      <c r="O4">
        <v>16.470929192793381</v>
      </c>
      <c r="P4">
        <v>19.064508248629114</v>
      </c>
      <c r="Q4">
        <v>21.250951669126046</v>
      </c>
      <c r="R4">
        <v>23.698628876120228</v>
      </c>
      <c r="S4">
        <v>25.577288872632366</v>
      </c>
      <c r="T4">
        <v>27.672022559571754</v>
      </c>
      <c r="U4">
        <v>29.426318599214191</v>
      </c>
      <c r="V4">
        <v>30.838092679433373</v>
      </c>
      <c r="W4">
        <v>31.097242153804316</v>
      </c>
      <c r="X4">
        <v>41.613291601736179</v>
      </c>
      <c r="Y4">
        <v>46.103594692512047</v>
      </c>
      <c r="Z4">
        <v>47.531348499032923</v>
      </c>
      <c r="AA4">
        <v>48.990366987448418</v>
      </c>
      <c r="AB4">
        <v>50.325021518994212</v>
      </c>
      <c r="AC4">
        <v>51.559629068477228</v>
      </c>
      <c r="AD4">
        <v>51.843095517655094</v>
      </c>
      <c r="AE4">
        <v>52.161300502271423</v>
      </c>
      <c r="AF4">
        <v>52.489927047519295</v>
      </c>
      <c r="AG4">
        <v>53.498039345943525</v>
      </c>
      <c r="AH4">
        <v>53.512629530827681</v>
      </c>
      <c r="AI4">
        <v>53.664784316048149</v>
      </c>
      <c r="AJ4">
        <v>54.021201689646794</v>
      </c>
      <c r="AK4">
        <v>54.307447221659736</v>
      </c>
      <c r="AL4">
        <v>54.608977709265609</v>
      </c>
      <c r="AM4">
        <v>54.836862501741933</v>
      </c>
      <c r="AN4">
        <v>55.134224365095186</v>
      </c>
      <c r="AO4">
        <v>55.534412293346293</v>
      </c>
      <c r="AP4">
        <v>55.676145517935225</v>
      </c>
      <c r="AQ4">
        <v>55.762991856531386</v>
      </c>
      <c r="AR4">
        <v>55.849838195127546</v>
      </c>
      <c r="AS4">
        <v>55.954748572151708</v>
      </c>
      <c r="AT4">
        <v>56.061048490593407</v>
      </c>
      <c r="AU4">
        <v>56.116630147294948</v>
      </c>
      <c r="AV4">
        <v>56.15345299485972</v>
      </c>
      <c r="AW4">
        <v>56.179159511084187</v>
      </c>
      <c r="AX4">
        <v>56.197918320220957</v>
      </c>
      <c r="AY4">
        <v>56.22154052431911</v>
      </c>
      <c r="AZ4">
        <v>56.229183002115576</v>
      </c>
      <c r="BA4">
        <v>56.238215021329573</v>
      </c>
      <c r="BB4">
        <v>56.260447684010188</v>
      </c>
      <c r="BC4">
        <v>56.278511722438189</v>
      </c>
      <c r="BD4">
        <v>56.299354843701273</v>
      </c>
      <c r="BE4">
        <v>56.316724111420505</v>
      </c>
      <c r="BF4">
        <v>56.347294022606349</v>
      </c>
      <c r="BG4">
        <v>56.384811640879896</v>
      </c>
      <c r="BH4">
        <v>56.450120087504203</v>
      </c>
      <c r="BI4">
        <v>56.488332476486512</v>
      </c>
      <c r="BJ4">
        <v>56.578652668626525</v>
      </c>
      <c r="BK4">
        <v>56.622423223278986</v>
      </c>
      <c r="BL4">
        <v>56.687036899194531</v>
      </c>
    </row>
    <row r="5" spans="1:64" x14ac:dyDescent="0.3">
      <c r="A5" s="1" t="s">
        <v>79</v>
      </c>
      <c r="B5">
        <v>45.578520914843786</v>
      </c>
      <c r="C5">
        <v>76.654785174964559</v>
      </c>
      <c r="D5">
        <v>106.52252804719173</v>
      </c>
      <c r="E5">
        <v>138.80731369520609</v>
      </c>
      <c r="F5">
        <v>144.33198289700533</v>
      </c>
      <c r="G5">
        <v>151.06517348669817</v>
      </c>
      <c r="H5">
        <v>161.07863641495931</v>
      </c>
      <c r="I5">
        <v>176.96206037013212</v>
      </c>
      <c r="J5">
        <v>192.67283841274875</v>
      </c>
      <c r="K5">
        <v>211.49124288137742</v>
      </c>
      <c r="L5">
        <v>230.82758508767478</v>
      </c>
      <c r="M5">
        <v>245.15719582984158</v>
      </c>
      <c r="N5">
        <v>261.38591161012687</v>
      </c>
      <c r="O5">
        <v>271.39937453838803</v>
      </c>
      <c r="P5">
        <v>296.60567777159707</v>
      </c>
    </row>
    <row r="6" spans="1:64" x14ac:dyDescent="0.3">
      <c r="A6" s="1" t="s">
        <v>36</v>
      </c>
      <c r="B6">
        <v>1.5320150313348397</v>
      </c>
      <c r="C6">
        <v>1.9916195407352915</v>
      </c>
      <c r="D6">
        <v>2.9261487098495436</v>
      </c>
      <c r="E6">
        <v>3.1253106639230728</v>
      </c>
      <c r="F6">
        <v>4.4122032902443387</v>
      </c>
      <c r="G6">
        <v>5.8216571190723911</v>
      </c>
      <c r="H6">
        <v>10.050018605556549</v>
      </c>
      <c r="I6">
        <v>14.692024150501112</v>
      </c>
      <c r="J6">
        <v>17.40369075596378</v>
      </c>
      <c r="K6">
        <v>18.675263231971694</v>
      </c>
      <c r="L6">
        <v>27.484349662147025</v>
      </c>
      <c r="M6">
        <v>35.129104668507871</v>
      </c>
      <c r="N6">
        <v>35.129104668507871</v>
      </c>
      <c r="O6">
        <v>56.393473303435449</v>
      </c>
      <c r="P6">
        <v>68.879395808814394</v>
      </c>
      <c r="Q6">
        <v>69.43092122009493</v>
      </c>
      <c r="R6">
        <v>102.38456454410733</v>
      </c>
      <c r="S6">
        <v>118.19495966748288</v>
      </c>
      <c r="T6">
        <v>139.78105145899076</v>
      </c>
      <c r="U6">
        <v>168.06204893743191</v>
      </c>
      <c r="V6">
        <v>195.45447769769885</v>
      </c>
      <c r="W6">
        <v>221.57533398195787</v>
      </c>
      <c r="X6">
        <v>248.845201539718</v>
      </c>
      <c r="Y6">
        <v>308.28738475550978</v>
      </c>
      <c r="Z6">
        <v>346.57244038856743</v>
      </c>
    </row>
    <row r="7" spans="1:64" x14ac:dyDescent="0.3">
      <c r="A7" s="1" t="s">
        <v>46</v>
      </c>
      <c r="B7">
        <v>1.5516099731855539</v>
      </c>
      <c r="C7">
        <v>1.8977383518192543</v>
      </c>
      <c r="D7">
        <v>2.3393504211105274</v>
      </c>
      <c r="E7">
        <v>3.1270908690355008</v>
      </c>
      <c r="F7">
        <v>5.7528923621187458</v>
      </c>
      <c r="G7">
        <v>7.9967590925717014</v>
      </c>
      <c r="H7">
        <v>9.5364336044250582</v>
      </c>
      <c r="I7">
        <v>12.412879785484431</v>
      </c>
      <c r="J7">
        <v>14.036102526663164</v>
      </c>
      <c r="K7">
        <v>17.3899671610104</v>
      </c>
      <c r="L7">
        <v>22.772860221831053</v>
      </c>
      <c r="M7">
        <v>24.80188864830447</v>
      </c>
      <c r="N7">
        <v>43.862820395822389</v>
      </c>
      <c r="O7">
        <v>54.724090208121268</v>
      </c>
      <c r="P7">
        <v>69.16599842007912</v>
      </c>
      <c r="Q7">
        <v>86.794674807733443</v>
      </c>
      <c r="R7">
        <v>110.48656555214363</v>
      </c>
      <c r="S7">
        <v>147.12843184198709</v>
      </c>
      <c r="T7">
        <v>182.85126760925144</v>
      </c>
      <c r="U7">
        <v>236.8950365214375</v>
      </c>
      <c r="V7">
        <v>265.12240257208236</v>
      </c>
      <c r="W7">
        <v>296.87072971572525</v>
      </c>
      <c r="X7">
        <v>346.79676446830348</v>
      </c>
      <c r="Y7">
        <v>393.70312750383601</v>
      </c>
    </row>
    <row r="8" spans="1:64" x14ac:dyDescent="0.3">
      <c r="A8" s="1" t="s">
        <v>203</v>
      </c>
      <c r="B8">
        <v>1.6549008179246094</v>
      </c>
      <c r="C8">
        <v>2.9169115136081247</v>
      </c>
      <c r="D8">
        <v>4.6194353766528664</v>
      </c>
      <c r="E8">
        <v>7.0601164390596649</v>
      </c>
      <c r="F8">
        <v>11.643834531872432</v>
      </c>
      <c r="G8">
        <v>17.870547681329775</v>
      </c>
      <c r="H8">
        <v>27.811858350157465</v>
      </c>
      <c r="I8">
        <v>34.788634460256901</v>
      </c>
      <c r="J8">
        <v>41.824939376756497</v>
      </c>
      <c r="K8">
        <v>56.516648796317419</v>
      </c>
      <c r="L8">
        <v>69.327247933633103</v>
      </c>
      <c r="M8">
        <v>78.173228564697737</v>
      </c>
      <c r="N8">
        <v>85.257156526317473</v>
      </c>
      <c r="O8">
        <v>95.746132214026687</v>
      </c>
      <c r="P8">
        <v>107.15185152029845</v>
      </c>
      <c r="Q8">
        <v>119.95054489633411</v>
      </c>
      <c r="R8">
        <v>135.29707118629685</v>
      </c>
      <c r="S8">
        <v>151.5484353335421</v>
      </c>
      <c r="T8">
        <v>165.94250072110219</v>
      </c>
      <c r="U8">
        <v>178.47926734897712</v>
      </c>
      <c r="V8">
        <v>192.50425413685619</v>
      </c>
      <c r="W8">
        <v>206.69592158265573</v>
      </c>
      <c r="X8">
        <v>219.14934788157041</v>
      </c>
      <c r="Y8">
        <v>233.87677458497143</v>
      </c>
      <c r="Z8">
        <v>245.37773998148344</v>
      </c>
      <c r="AA8">
        <v>257.61686257735755</v>
      </c>
      <c r="AB8">
        <v>274.41589174348434</v>
      </c>
      <c r="AC8">
        <v>295.39384311890279</v>
      </c>
    </row>
    <row r="9" spans="1:64" x14ac:dyDescent="0.3">
      <c r="A9" s="1" t="s">
        <v>55</v>
      </c>
      <c r="B9">
        <v>2.5636010397701186</v>
      </c>
      <c r="C9">
        <v>3.787513794241014</v>
      </c>
      <c r="D9">
        <v>5.3256744181030848</v>
      </c>
      <c r="E9">
        <v>7.4923307807475084</v>
      </c>
      <c r="F9">
        <v>10.833281813222115</v>
      </c>
      <c r="G9">
        <v>14.686953053650745</v>
      </c>
      <c r="H9">
        <v>18.656399824907702</v>
      </c>
      <c r="I9">
        <v>28.017678460455361</v>
      </c>
      <c r="J9">
        <v>33.674140109496527</v>
      </c>
      <c r="K9">
        <v>41.381482590353784</v>
      </c>
      <c r="L9">
        <v>51.090087818386429</v>
      </c>
      <c r="M9">
        <v>63.808856847955596</v>
      </c>
      <c r="N9">
        <v>76.676480131446908</v>
      </c>
      <c r="O9">
        <v>97.301063980436183</v>
      </c>
      <c r="P9">
        <v>121.97779140841693</v>
      </c>
      <c r="Q9">
        <v>151.69902410820342</v>
      </c>
      <c r="R9">
        <v>167.85798033952861</v>
      </c>
      <c r="S9">
        <v>206.11352359751754</v>
      </c>
      <c r="T9">
        <v>206.11352359751754</v>
      </c>
      <c r="U9">
        <v>292.08512491832448</v>
      </c>
      <c r="V9">
        <v>349.92327224784776</v>
      </c>
      <c r="W9">
        <v>409.29958020123308</v>
      </c>
      <c r="X9">
        <v>462.77133608237369</v>
      </c>
      <c r="Y9">
        <v>521.0891248967572</v>
      </c>
      <c r="Z9">
        <v>590.67021892458229</v>
      </c>
      <c r="AA9">
        <v>678.69270107720524</v>
      </c>
      <c r="AB9">
        <v>777.69731929697252</v>
      </c>
      <c r="AC9">
        <v>886.14591296002209</v>
      </c>
      <c r="AD9">
        <v>978.10476316080826</v>
      </c>
      <c r="AE9">
        <v>1057.3117656089314</v>
      </c>
      <c r="AF9">
        <v>1144.1268743686305</v>
      </c>
    </row>
    <row r="10" spans="1:64" x14ac:dyDescent="0.3">
      <c r="A10" s="1" t="s">
        <v>2</v>
      </c>
      <c r="B10">
        <v>0.83019400740506177</v>
      </c>
      <c r="C10">
        <v>0.96460637050873843</v>
      </c>
      <c r="D10">
        <v>1.1622716103670865</v>
      </c>
      <c r="E10">
        <v>1.2571509254990934</v>
      </c>
      <c r="F10">
        <v>1.3441236310367666</v>
      </c>
      <c r="G10">
        <v>1.4943492133291112</v>
      </c>
      <c r="H10">
        <v>1.692014453187459</v>
      </c>
      <c r="I10">
        <v>1.8027069875081341</v>
      </c>
      <c r="J10">
        <v>1.905492912234475</v>
      </c>
      <c r="K10">
        <v>2.0240920561494837</v>
      </c>
      <c r="L10">
        <v>2.1664110288474943</v>
      </c>
      <c r="M10">
        <v>2.3166366111398391</v>
      </c>
      <c r="N10">
        <v>2.6170877757245279</v>
      </c>
      <c r="O10">
        <v>2.8463794539602114</v>
      </c>
      <c r="P10">
        <v>3.3207760296202471</v>
      </c>
      <c r="Q10">
        <v>3.6449470229879375</v>
      </c>
      <c r="R10">
        <v>3.9691180163556283</v>
      </c>
      <c r="S10">
        <v>4.040277502704634</v>
      </c>
      <c r="T10">
        <v>4.5937401743080084</v>
      </c>
      <c r="U10">
        <v>5.0523235307793755</v>
      </c>
      <c r="V10">
        <v>5.0523235307793755</v>
      </c>
      <c r="W10">
        <v>5.5425333256280789</v>
      </c>
      <c r="X10">
        <v>6.111809216420121</v>
      </c>
      <c r="Y10">
        <v>6.6336454496461599</v>
      </c>
      <c r="Z10">
        <v>6.6336454496461599</v>
      </c>
      <c r="AA10">
        <v>6.942003223825183</v>
      </c>
      <c r="AB10">
        <v>7.028975929362856</v>
      </c>
      <c r="AC10">
        <v>7.3057072651645427</v>
      </c>
      <c r="AD10">
        <v>7.6140650393435658</v>
      </c>
      <c r="AE10">
        <v>7.9619558614942587</v>
      </c>
      <c r="AF10">
        <v>8.7051771633616468</v>
      </c>
      <c r="AG10">
        <v>8.9186556224086626</v>
      </c>
      <c r="AH10">
        <v>9.4325852460403681</v>
      </c>
    </row>
    <row r="11" spans="1:64" x14ac:dyDescent="0.3">
      <c r="A11" s="1" t="s">
        <v>204</v>
      </c>
      <c r="B11">
        <v>2.0285089376786467</v>
      </c>
      <c r="C11">
        <v>3.9789983008311913</v>
      </c>
      <c r="D11">
        <v>8.445618942450519</v>
      </c>
      <c r="E11">
        <v>11.741945966178319</v>
      </c>
      <c r="F11">
        <v>16.247576395060698</v>
      </c>
      <c r="G11">
        <v>19.056281078000364</v>
      </c>
      <c r="H11">
        <v>24.59567086935359</v>
      </c>
      <c r="I11">
        <v>34.445642153273937</v>
      </c>
      <c r="J11">
        <v>45.582936416874972</v>
      </c>
      <c r="K11">
        <v>61.440414939305157</v>
      </c>
      <c r="L11">
        <v>72.870282607379067</v>
      </c>
      <c r="M11">
        <v>84.553713892662813</v>
      </c>
      <c r="N11">
        <v>101.15237837309097</v>
      </c>
      <c r="O11">
        <v>109.63700710280455</v>
      </c>
      <c r="P11">
        <v>118.74579242872693</v>
      </c>
      <c r="Q11">
        <v>128.59576371264728</v>
      </c>
      <c r="R11">
        <v>137.33395605957068</v>
      </c>
      <c r="S11">
        <v>142.65879202097713</v>
      </c>
      <c r="T11">
        <v>145.85759457654729</v>
      </c>
      <c r="U11">
        <v>146.54026585365068</v>
      </c>
      <c r="V11">
        <v>151.26045011247984</v>
      </c>
      <c r="W11">
        <v>153.48400798647376</v>
      </c>
      <c r="X11">
        <v>155.62954628594156</v>
      </c>
      <c r="Y11">
        <v>157.71656990451476</v>
      </c>
      <c r="Z11">
        <v>159.1989418205107</v>
      </c>
      <c r="AA11">
        <v>160.6423039492436</v>
      </c>
      <c r="AB11">
        <v>162.28071501429173</v>
      </c>
      <c r="AC11">
        <v>164.09467012202359</v>
      </c>
      <c r="AD11">
        <v>167.05941395401547</v>
      </c>
      <c r="AE11">
        <v>168.75633969995818</v>
      </c>
      <c r="AF11">
        <v>171.62355906379241</v>
      </c>
      <c r="AG11">
        <v>174.78335183209953</v>
      </c>
      <c r="AH11">
        <v>174.78335183209953</v>
      </c>
      <c r="AI11">
        <v>176.26572374809547</v>
      </c>
    </row>
    <row r="12" spans="1:64" x14ac:dyDescent="0.3">
      <c r="A12" s="1" t="s">
        <v>205</v>
      </c>
      <c r="B12">
        <v>1.7087467401789156</v>
      </c>
      <c r="C12">
        <v>2.4158143568046739</v>
      </c>
      <c r="D12">
        <v>3.049229096698582</v>
      </c>
      <c r="E12">
        <v>4.0361776449053695</v>
      </c>
      <c r="F12">
        <v>4.7432452615311274</v>
      </c>
      <c r="G12">
        <v>5.6565409330060659</v>
      </c>
      <c r="H12">
        <v>6.7613340839838125</v>
      </c>
      <c r="I12">
        <v>6.7613340839838125</v>
      </c>
      <c r="J12">
        <v>11.81392142778871</v>
      </c>
      <c r="K12">
        <v>16.851778196247235</v>
      </c>
      <c r="L12">
        <v>16.866508771593608</v>
      </c>
      <c r="M12">
        <v>22.84712236221981</v>
      </c>
      <c r="N12">
        <v>28.871927678885125</v>
      </c>
      <c r="O12">
        <v>38.918180065109439</v>
      </c>
      <c r="P12">
        <v>40.008242640740818</v>
      </c>
      <c r="Q12">
        <v>59.128529440329025</v>
      </c>
      <c r="R12">
        <v>74.639825280056598</v>
      </c>
      <c r="S12">
        <v>84.62715536489543</v>
      </c>
      <c r="T12">
        <v>99.077849779684371</v>
      </c>
      <c r="U12">
        <v>120.26041712776437</v>
      </c>
    </row>
    <row r="13" spans="1:64" x14ac:dyDescent="0.3">
      <c r="A13" s="1" t="s">
        <v>18</v>
      </c>
      <c r="B13">
        <v>0.3564926131059899</v>
      </c>
      <c r="C13">
        <v>0.45014745214230928</v>
      </c>
      <c r="D13">
        <v>0.65558387325423562</v>
      </c>
      <c r="E13">
        <v>0.79153444604889278</v>
      </c>
      <c r="F13">
        <v>1.2144917836322706</v>
      </c>
      <c r="G13">
        <v>1.564942149058498</v>
      </c>
      <c r="H13">
        <v>1.7613151986507805</v>
      </c>
      <c r="I13">
        <v>2.897257762446138</v>
      </c>
      <c r="J13">
        <v>3.8700596388879069</v>
      </c>
      <c r="K13">
        <v>5.024128945722552</v>
      </c>
      <c r="L13">
        <v>6.5830288471012874</v>
      </c>
      <c r="M13">
        <v>8.2386047113562242</v>
      </c>
      <c r="N13">
        <v>10.570912315744565</v>
      </c>
      <c r="O13">
        <v>13.993845626330044</v>
      </c>
      <c r="P13">
        <v>19.398636175877638</v>
      </c>
      <c r="Q13">
        <v>23.513406845795927</v>
      </c>
      <c r="R13">
        <v>41.319910758056132</v>
      </c>
      <c r="S13">
        <v>57.703465341732262</v>
      </c>
      <c r="T13">
        <v>77.005425554733691</v>
      </c>
      <c r="U13">
        <v>100.53091689588915</v>
      </c>
      <c r="V13">
        <v>132.46721700727406</v>
      </c>
      <c r="W13">
        <v>162.35519515521946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233A5-10CD-4D6C-847A-261E92D60A82}">
  <sheetPr codeName="Sheet2"/>
  <dimension ref="A1:BL50"/>
  <sheetViews>
    <sheetView workbookViewId="0"/>
  </sheetViews>
  <sheetFormatPr defaultRowHeight="14.4" x14ac:dyDescent="0.3"/>
  <cols>
    <col min="1" max="1" width="16.77734375" bestFit="1" customWidth="1"/>
    <col min="2" max="4" width="4.21875" bestFit="1" customWidth="1"/>
    <col min="5" max="10" width="5" bestFit="1" customWidth="1"/>
    <col min="11" max="11" width="5.21875" bestFit="1" customWidth="1"/>
    <col min="12" max="51" width="6" bestFit="1" customWidth="1"/>
    <col min="52" max="64" width="6" customWidth="1"/>
    <col min="65" max="65" width="7.109375" bestFit="1" customWidth="1"/>
    <col min="66" max="66" width="8" bestFit="1" customWidth="1"/>
  </cols>
  <sheetData>
    <row r="1" spans="1:64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</row>
    <row r="2" spans="1:64" x14ac:dyDescent="0.3">
      <c r="A2" s="1" t="s">
        <v>42</v>
      </c>
      <c r="B2">
        <v>107</v>
      </c>
      <c r="C2">
        <v>128</v>
      </c>
      <c r="D2" s="4">
        <v>128</v>
      </c>
      <c r="E2" s="4">
        <v>200</v>
      </c>
      <c r="F2" s="4">
        <v>250</v>
      </c>
      <c r="G2">
        <v>297</v>
      </c>
      <c r="H2">
        <v>377</v>
      </c>
      <c r="I2">
        <v>452</v>
      </c>
      <c r="J2">
        <v>568</v>
      </c>
      <c r="K2">
        <v>681</v>
      </c>
      <c r="L2">
        <v>791</v>
      </c>
      <c r="M2">
        <v>1071</v>
      </c>
      <c r="N2">
        <v>1549</v>
      </c>
      <c r="O2">
        <v>1682</v>
      </c>
      <c r="P2">
        <v>2044</v>
      </c>
    </row>
    <row r="3" spans="1:64" x14ac:dyDescent="0.3">
      <c r="A3" s="1" t="s">
        <v>43</v>
      </c>
      <c r="B3">
        <v>108</v>
      </c>
      <c r="C3">
        <v>117</v>
      </c>
      <c r="D3">
        <v>193</v>
      </c>
      <c r="E3">
        <v>198</v>
      </c>
      <c r="F3">
        <v>252</v>
      </c>
      <c r="G3">
        <v>415</v>
      </c>
      <c r="H3">
        <v>478</v>
      </c>
      <c r="I3">
        <v>657</v>
      </c>
      <c r="J3">
        <v>800</v>
      </c>
      <c r="K3">
        <v>943</v>
      </c>
      <c r="L3">
        <v>1277</v>
      </c>
      <c r="M3">
        <v>1469</v>
      </c>
      <c r="N3">
        <v>2088</v>
      </c>
      <c r="O3">
        <v>2790</v>
      </c>
    </row>
    <row r="4" spans="1:64" x14ac:dyDescent="0.3">
      <c r="A4" s="1" t="s">
        <v>202</v>
      </c>
      <c r="B4">
        <v>548</v>
      </c>
      <c r="C4">
        <v>643</v>
      </c>
      <c r="D4">
        <v>920</v>
      </c>
      <c r="E4">
        <v>1406</v>
      </c>
      <c r="F4">
        <v>2075</v>
      </c>
      <c r="G4">
        <v>2877</v>
      </c>
      <c r="H4">
        <v>5509</v>
      </c>
      <c r="I4">
        <v>6087</v>
      </c>
      <c r="J4">
        <v>8141</v>
      </c>
      <c r="K4">
        <v>9802</v>
      </c>
      <c r="L4">
        <v>11891</v>
      </c>
      <c r="M4">
        <v>16630</v>
      </c>
      <c r="N4">
        <v>19716</v>
      </c>
      <c r="O4">
        <v>23707</v>
      </c>
      <c r="P4">
        <v>27440</v>
      </c>
      <c r="Q4">
        <v>30587</v>
      </c>
      <c r="R4">
        <v>34110</v>
      </c>
      <c r="S4">
        <v>36814</v>
      </c>
      <c r="T4">
        <v>39829</v>
      </c>
      <c r="U4">
        <v>42354</v>
      </c>
      <c r="V4">
        <v>44386</v>
      </c>
      <c r="W4">
        <v>44759</v>
      </c>
      <c r="X4">
        <v>59895</v>
      </c>
      <c r="Y4">
        <v>66358</v>
      </c>
      <c r="Z4">
        <v>68413</v>
      </c>
      <c r="AA4">
        <v>70513</v>
      </c>
      <c r="AB4">
        <v>72434</v>
      </c>
      <c r="AC4">
        <v>74211</v>
      </c>
      <c r="AD4">
        <v>74619</v>
      </c>
      <c r="AE4">
        <v>75077</v>
      </c>
      <c r="AF4">
        <v>75550</v>
      </c>
      <c r="AG4">
        <v>77001</v>
      </c>
      <c r="AH4">
        <v>77022</v>
      </c>
      <c r="AI4">
        <v>77241</v>
      </c>
      <c r="AJ4">
        <v>77754</v>
      </c>
      <c r="AK4">
        <v>78166</v>
      </c>
      <c r="AL4">
        <v>78600</v>
      </c>
      <c r="AM4">
        <v>78928</v>
      </c>
      <c r="AN4">
        <v>79356</v>
      </c>
      <c r="AO4">
        <v>79932</v>
      </c>
      <c r="AP4">
        <v>80136</v>
      </c>
      <c r="AQ4">
        <v>80261</v>
      </c>
      <c r="AR4">
        <v>80386</v>
      </c>
      <c r="AS4">
        <v>80537</v>
      </c>
      <c r="AT4">
        <v>80690</v>
      </c>
      <c r="AU4">
        <v>80770</v>
      </c>
      <c r="AV4">
        <v>80823</v>
      </c>
      <c r="AW4">
        <v>80860</v>
      </c>
      <c r="AX4">
        <v>80887</v>
      </c>
      <c r="AY4">
        <v>80921</v>
      </c>
      <c r="AZ4">
        <v>80932</v>
      </c>
      <c r="BA4">
        <v>80945</v>
      </c>
      <c r="BB4">
        <v>80977</v>
      </c>
      <c r="BC4">
        <v>81003</v>
      </c>
      <c r="BD4">
        <v>81033</v>
      </c>
      <c r="BE4">
        <v>81058</v>
      </c>
      <c r="BF4">
        <v>81102</v>
      </c>
      <c r="BG4">
        <v>81156</v>
      </c>
      <c r="BH4">
        <v>81250</v>
      </c>
      <c r="BI4">
        <v>81305</v>
      </c>
      <c r="BJ4">
        <v>81435</v>
      </c>
      <c r="BK4">
        <v>81498</v>
      </c>
      <c r="BL4">
        <v>81591</v>
      </c>
    </row>
    <row r="5" spans="1:64" x14ac:dyDescent="0.3">
      <c r="A5" s="1" t="s">
        <v>79</v>
      </c>
      <c r="B5">
        <v>264</v>
      </c>
      <c r="C5">
        <v>444</v>
      </c>
      <c r="D5">
        <v>617</v>
      </c>
      <c r="E5">
        <v>804</v>
      </c>
      <c r="F5">
        <v>836</v>
      </c>
      <c r="G5">
        <v>875</v>
      </c>
      <c r="H5">
        <v>933</v>
      </c>
      <c r="I5">
        <v>1025</v>
      </c>
      <c r="J5">
        <v>1116</v>
      </c>
      <c r="K5">
        <v>1225</v>
      </c>
      <c r="L5">
        <v>1337</v>
      </c>
      <c r="M5">
        <v>1420</v>
      </c>
      <c r="N5">
        <v>1514</v>
      </c>
      <c r="O5">
        <v>1572</v>
      </c>
      <c r="P5">
        <v>1718</v>
      </c>
    </row>
    <row r="6" spans="1:64" x14ac:dyDescent="0.3">
      <c r="A6" s="1" t="s">
        <v>36</v>
      </c>
      <c r="B6">
        <v>100</v>
      </c>
      <c r="C6">
        <v>130</v>
      </c>
      <c r="D6">
        <v>191</v>
      </c>
      <c r="E6">
        <v>204</v>
      </c>
      <c r="F6">
        <v>288</v>
      </c>
      <c r="G6">
        <v>380</v>
      </c>
      <c r="H6">
        <v>656</v>
      </c>
      <c r="I6">
        <v>959</v>
      </c>
      <c r="J6">
        <v>1136</v>
      </c>
      <c r="K6">
        <v>1219</v>
      </c>
      <c r="L6">
        <v>1794</v>
      </c>
      <c r="M6">
        <v>2293</v>
      </c>
      <c r="N6">
        <v>2293</v>
      </c>
      <c r="O6">
        <v>3681</v>
      </c>
      <c r="P6">
        <v>4496</v>
      </c>
      <c r="Q6">
        <v>4532</v>
      </c>
      <c r="R6">
        <v>6683</v>
      </c>
      <c r="S6">
        <v>7715</v>
      </c>
      <c r="T6">
        <v>9124</v>
      </c>
      <c r="U6">
        <v>10970</v>
      </c>
      <c r="V6">
        <v>12758</v>
      </c>
      <c r="W6">
        <v>14463</v>
      </c>
      <c r="X6">
        <v>16243</v>
      </c>
      <c r="Y6">
        <v>20123</v>
      </c>
      <c r="Z6">
        <v>22622</v>
      </c>
    </row>
    <row r="7" spans="1:64" x14ac:dyDescent="0.3">
      <c r="A7" s="1" t="s">
        <v>46</v>
      </c>
      <c r="B7">
        <v>130</v>
      </c>
      <c r="C7">
        <v>159</v>
      </c>
      <c r="D7">
        <v>196</v>
      </c>
      <c r="E7">
        <v>262</v>
      </c>
      <c r="F7">
        <v>482</v>
      </c>
      <c r="G7">
        <v>670</v>
      </c>
      <c r="H7">
        <v>799</v>
      </c>
      <c r="I7">
        <v>1040</v>
      </c>
      <c r="J7">
        <v>1176</v>
      </c>
      <c r="K7">
        <v>1457</v>
      </c>
      <c r="L7">
        <v>1908</v>
      </c>
      <c r="M7">
        <v>2078</v>
      </c>
      <c r="N7">
        <v>3675</v>
      </c>
      <c r="O7">
        <v>4585</v>
      </c>
      <c r="P7">
        <v>5795</v>
      </c>
      <c r="Q7">
        <v>7272</v>
      </c>
      <c r="R7">
        <v>9257</v>
      </c>
      <c r="S7">
        <v>12327</v>
      </c>
      <c r="T7">
        <v>15320</v>
      </c>
      <c r="U7">
        <v>19848</v>
      </c>
      <c r="V7">
        <v>22213</v>
      </c>
      <c r="W7">
        <v>24873</v>
      </c>
      <c r="X7">
        <v>29056</v>
      </c>
      <c r="Y7">
        <v>32986</v>
      </c>
    </row>
    <row r="8" spans="1:64" x14ac:dyDescent="0.3">
      <c r="A8" s="1" t="s">
        <v>203</v>
      </c>
      <c r="B8">
        <v>139</v>
      </c>
      <c r="C8">
        <v>245</v>
      </c>
      <c r="D8">
        <v>388</v>
      </c>
      <c r="E8">
        <v>593</v>
      </c>
      <c r="F8">
        <v>978</v>
      </c>
      <c r="G8">
        <v>1501</v>
      </c>
      <c r="H8">
        <v>2336</v>
      </c>
      <c r="I8">
        <v>2922</v>
      </c>
      <c r="J8">
        <v>3513</v>
      </c>
      <c r="K8">
        <v>4747</v>
      </c>
      <c r="L8">
        <v>5823</v>
      </c>
      <c r="M8">
        <v>6566</v>
      </c>
      <c r="N8">
        <v>7161</v>
      </c>
      <c r="O8">
        <v>8042</v>
      </c>
      <c r="P8">
        <v>9000</v>
      </c>
      <c r="Q8">
        <v>10075</v>
      </c>
      <c r="R8">
        <v>11364</v>
      </c>
      <c r="S8">
        <v>12729</v>
      </c>
      <c r="T8">
        <v>13938</v>
      </c>
      <c r="U8">
        <v>14991</v>
      </c>
      <c r="V8">
        <v>16169</v>
      </c>
      <c r="W8">
        <v>17361</v>
      </c>
      <c r="X8">
        <v>18407</v>
      </c>
      <c r="Y8">
        <v>19644</v>
      </c>
      <c r="Z8">
        <v>20610</v>
      </c>
      <c r="AA8">
        <v>21638</v>
      </c>
      <c r="AB8">
        <v>23049</v>
      </c>
      <c r="AC8">
        <v>24811</v>
      </c>
    </row>
    <row r="9" spans="1:64" x14ac:dyDescent="0.3">
      <c r="A9" s="1" t="s">
        <v>55</v>
      </c>
      <c r="B9">
        <v>155</v>
      </c>
      <c r="C9">
        <v>229</v>
      </c>
      <c r="D9">
        <v>322</v>
      </c>
      <c r="E9">
        <v>453</v>
      </c>
      <c r="F9">
        <v>655</v>
      </c>
      <c r="G9">
        <v>888</v>
      </c>
      <c r="H9">
        <v>1128</v>
      </c>
      <c r="I9">
        <v>1694</v>
      </c>
      <c r="J9">
        <v>2036</v>
      </c>
      <c r="K9">
        <v>2502</v>
      </c>
      <c r="L9">
        <v>3089</v>
      </c>
      <c r="M9">
        <v>3858</v>
      </c>
      <c r="N9">
        <v>4636</v>
      </c>
      <c r="O9">
        <v>5883</v>
      </c>
      <c r="P9">
        <v>7375</v>
      </c>
      <c r="Q9">
        <v>9172</v>
      </c>
      <c r="R9">
        <v>10149</v>
      </c>
      <c r="S9">
        <v>12462</v>
      </c>
      <c r="T9">
        <v>12462</v>
      </c>
      <c r="U9">
        <v>17660</v>
      </c>
      <c r="V9">
        <v>21157</v>
      </c>
      <c r="W9">
        <v>24747</v>
      </c>
      <c r="X9">
        <v>27980</v>
      </c>
      <c r="Y9">
        <v>31506</v>
      </c>
      <c r="Z9">
        <v>35713</v>
      </c>
      <c r="AA9">
        <v>41035</v>
      </c>
      <c r="AB9">
        <v>47021</v>
      </c>
      <c r="AC9">
        <v>53578</v>
      </c>
      <c r="AD9">
        <v>59138</v>
      </c>
      <c r="AE9">
        <v>63927</v>
      </c>
      <c r="AF9">
        <v>69176</v>
      </c>
    </row>
    <row r="10" spans="1:64" x14ac:dyDescent="0.3">
      <c r="A10" s="1" t="s">
        <v>2</v>
      </c>
      <c r="B10">
        <v>105</v>
      </c>
      <c r="C10">
        <v>122</v>
      </c>
      <c r="D10">
        <v>147</v>
      </c>
      <c r="E10">
        <v>159</v>
      </c>
      <c r="F10">
        <v>170</v>
      </c>
      <c r="G10">
        <v>189</v>
      </c>
      <c r="H10">
        <v>214</v>
      </c>
      <c r="I10">
        <v>228</v>
      </c>
      <c r="J10">
        <v>241</v>
      </c>
      <c r="K10">
        <v>256</v>
      </c>
      <c r="L10">
        <v>274</v>
      </c>
      <c r="M10">
        <v>293</v>
      </c>
      <c r="N10">
        <v>331</v>
      </c>
      <c r="O10">
        <v>360</v>
      </c>
      <c r="P10">
        <v>420</v>
      </c>
      <c r="Q10">
        <v>461</v>
      </c>
      <c r="R10">
        <v>502</v>
      </c>
      <c r="S10">
        <v>511</v>
      </c>
      <c r="T10">
        <v>581</v>
      </c>
      <c r="U10">
        <v>639</v>
      </c>
      <c r="V10">
        <v>639</v>
      </c>
      <c r="W10">
        <v>701</v>
      </c>
      <c r="X10">
        <v>773</v>
      </c>
      <c r="Y10">
        <v>839</v>
      </c>
      <c r="Z10">
        <v>839</v>
      </c>
      <c r="AA10">
        <v>878</v>
      </c>
      <c r="AB10">
        <v>889</v>
      </c>
      <c r="AC10">
        <v>924</v>
      </c>
      <c r="AD10">
        <v>963</v>
      </c>
      <c r="AE10">
        <v>1007</v>
      </c>
      <c r="AF10">
        <v>1101</v>
      </c>
      <c r="AG10">
        <v>1128</v>
      </c>
      <c r="AH10">
        <v>1193</v>
      </c>
    </row>
    <row r="11" spans="1:64" x14ac:dyDescent="0.3">
      <c r="A11" s="1" t="s">
        <v>204</v>
      </c>
      <c r="B11">
        <v>104</v>
      </c>
      <c r="C11">
        <v>204</v>
      </c>
      <c r="D11">
        <v>433</v>
      </c>
      <c r="E11">
        <v>602</v>
      </c>
      <c r="F11">
        <v>833</v>
      </c>
      <c r="G11">
        <v>977</v>
      </c>
      <c r="H11">
        <v>1261</v>
      </c>
      <c r="I11">
        <v>1766</v>
      </c>
      <c r="J11">
        <v>2337</v>
      </c>
      <c r="K11">
        <v>3150</v>
      </c>
      <c r="L11">
        <v>3736</v>
      </c>
      <c r="M11">
        <v>4335</v>
      </c>
      <c r="N11">
        <v>5186</v>
      </c>
      <c r="O11">
        <v>5621</v>
      </c>
      <c r="P11">
        <v>6088</v>
      </c>
      <c r="Q11">
        <v>6593</v>
      </c>
      <c r="R11">
        <v>7041</v>
      </c>
      <c r="S11">
        <v>7314</v>
      </c>
      <c r="T11">
        <v>7478</v>
      </c>
      <c r="U11">
        <v>7513</v>
      </c>
      <c r="V11">
        <v>7755</v>
      </c>
      <c r="W11">
        <v>7869</v>
      </c>
      <c r="X11">
        <v>7979</v>
      </c>
      <c r="Y11">
        <v>8086</v>
      </c>
      <c r="Z11">
        <v>8162</v>
      </c>
      <c r="AA11">
        <v>8236</v>
      </c>
      <c r="AB11">
        <v>8320</v>
      </c>
      <c r="AC11">
        <v>8413</v>
      </c>
      <c r="AD11">
        <v>8565</v>
      </c>
      <c r="AE11">
        <v>8652</v>
      </c>
      <c r="AF11">
        <v>8799</v>
      </c>
      <c r="AG11">
        <v>8961</v>
      </c>
      <c r="AH11">
        <v>8961</v>
      </c>
      <c r="AI11">
        <v>9037</v>
      </c>
    </row>
    <row r="12" spans="1:64" x14ac:dyDescent="0.3">
      <c r="A12" s="1" t="s">
        <v>205</v>
      </c>
      <c r="B12">
        <v>116</v>
      </c>
      <c r="C12">
        <v>164</v>
      </c>
      <c r="D12">
        <v>207</v>
      </c>
      <c r="E12">
        <v>274</v>
      </c>
      <c r="F12">
        <v>322</v>
      </c>
      <c r="G12">
        <v>384</v>
      </c>
      <c r="H12">
        <v>459</v>
      </c>
      <c r="I12">
        <v>459</v>
      </c>
      <c r="J12">
        <v>802</v>
      </c>
      <c r="K12">
        <v>1144</v>
      </c>
      <c r="L12">
        <v>1145</v>
      </c>
      <c r="M12">
        <v>1551</v>
      </c>
      <c r="N12">
        <v>1960</v>
      </c>
      <c r="O12">
        <v>2642</v>
      </c>
      <c r="P12">
        <v>2716</v>
      </c>
      <c r="Q12">
        <v>4014</v>
      </c>
      <c r="R12">
        <v>5067</v>
      </c>
      <c r="S12">
        <v>5745</v>
      </c>
      <c r="T12">
        <v>6726</v>
      </c>
      <c r="U12">
        <v>8164</v>
      </c>
    </row>
    <row r="13" spans="1:64" x14ac:dyDescent="0.3">
      <c r="A13" s="1" t="s">
        <v>18</v>
      </c>
      <c r="B13">
        <v>118</v>
      </c>
      <c r="C13">
        <v>149</v>
      </c>
      <c r="D13">
        <v>217</v>
      </c>
      <c r="E13">
        <v>262</v>
      </c>
      <c r="F13">
        <v>402</v>
      </c>
      <c r="G13">
        <v>518</v>
      </c>
      <c r="H13">
        <v>583</v>
      </c>
      <c r="I13">
        <v>959</v>
      </c>
      <c r="J13">
        <v>1281</v>
      </c>
      <c r="K13">
        <v>1663</v>
      </c>
      <c r="L13">
        <v>2179</v>
      </c>
      <c r="M13">
        <v>2727</v>
      </c>
      <c r="N13">
        <v>3499</v>
      </c>
      <c r="O13">
        <v>4632</v>
      </c>
      <c r="P13">
        <v>6421</v>
      </c>
      <c r="Q13">
        <v>7783</v>
      </c>
      <c r="R13">
        <v>13677</v>
      </c>
      <c r="S13">
        <v>19100</v>
      </c>
      <c r="T13">
        <v>25489</v>
      </c>
      <c r="U13">
        <v>33276</v>
      </c>
      <c r="V13">
        <v>43847</v>
      </c>
      <c r="W13">
        <v>53740</v>
      </c>
    </row>
    <row r="50" spans="1:64" s="5" customForma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380A-429D-4F97-A829-D89CC4A695FD}">
  <sheetPr codeName="Sheet14"/>
  <dimension ref="A1:N64"/>
  <sheetViews>
    <sheetView topLeftCell="A43" workbookViewId="0">
      <selection activeCell="Q83" sqref="Q83"/>
    </sheetView>
  </sheetViews>
  <sheetFormatPr defaultRowHeight="14.4" x14ac:dyDescent="0.3"/>
  <cols>
    <col min="1" max="2" width="10.5546875" bestFit="1" customWidth="1"/>
    <col min="3" max="3" width="9.5546875" customWidth="1"/>
    <col min="4" max="4" width="8" bestFit="1" customWidth="1"/>
    <col min="5" max="5" width="10.88671875" bestFit="1" customWidth="1"/>
    <col min="6" max="6" width="8.77734375" bestFit="1" customWidth="1"/>
    <col min="7" max="7" width="10.88671875" bestFit="1" customWidth="1"/>
    <col min="8" max="8" width="6.5546875" bestFit="1" customWidth="1"/>
    <col min="9" max="9" width="6.88671875" bestFit="1" customWidth="1"/>
    <col min="10" max="10" width="8.109375" bestFit="1" customWidth="1"/>
    <col min="11" max="11" width="14.109375" bestFit="1" customWidth="1"/>
    <col min="12" max="12" width="6" bestFit="1" customWidth="1"/>
    <col min="13" max="13" width="17" bestFit="1" customWidth="1"/>
    <col min="14" max="14" width="7.44140625" customWidth="1"/>
    <col min="15" max="15" width="9.6640625" bestFit="1" customWidth="1"/>
    <col min="16" max="16" width="12.88671875" bestFit="1" customWidth="1"/>
    <col min="17" max="17" width="11.109375" bestFit="1" customWidth="1"/>
    <col min="18" max="18" width="9.33203125" bestFit="1" customWidth="1"/>
    <col min="19" max="19" width="10" bestFit="1" customWidth="1"/>
    <col min="20" max="20" width="8" bestFit="1" customWidth="1"/>
    <col min="21" max="21" width="9.33203125" bestFit="1" customWidth="1"/>
    <col min="22" max="22" width="8.77734375" bestFit="1" customWidth="1"/>
    <col min="23" max="23" width="23.5546875" bestFit="1" customWidth="1"/>
    <col min="24" max="24" width="7.6640625" bestFit="1" customWidth="1"/>
    <col min="25" max="25" width="8.6640625" bestFit="1" customWidth="1"/>
    <col min="26" max="26" width="10" bestFit="1" customWidth="1"/>
    <col min="27" max="27" width="13.88671875" bestFit="1" customWidth="1"/>
    <col min="28" max="28" width="13" bestFit="1" customWidth="1"/>
    <col min="29" max="29" width="11.77734375" bestFit="1" customWidth="1"/>
    <col min="30" max="30" width="12" bestFit="1" customWidth="1"/>
    <col min="31" max="31" width="9.5546875" bestFit="1" customWidth="1"/>
    <col min="32" max="32" width="12.88671875" bestFit="1" customWidth="1"/>
    <col min="33" max="33" width="23.6640625" bestFit="1" customWidth="1"/>
    <col min="34" max="34" width="7.5546875" bestFit="1" customWidth="1"/>
    <col min="35" max="35" width="7.33203125" bestFit="1" customWidth="1"/>
    <col min="36" max="36" width="8" bestFit="1" customWidth="1"/>
    <col min="37" max="37" width="11.21875" bestFit="1" customWidth="1"/>
    <col min="38" max="38" width="19.21875" bestFit="1" customWidth="1"/>
    <col min="39" max="39" width="17.88671875" bestFit="1" customWidth="1"/>
    <col min="40" max="40" width="11.77734375" bestFit="1" customWidth="1"/>
    <col min="41" max="41" width="13.88671875" bestFit="1" customWidth="1"/>
    <col min="42" max="42" width="9.21875" bestFit="1" customWidth="1"/>
    <col min="43" max="43" width="12.44140625" bestFit="1" customWidth="1"/>
    <col min="44" max="44" width="7.5546875" bestFit="1" customWidth="1"/>
    <col min="45" max="45" width="9" bestFit="1" customWidth="1"/>
    <col min="46" max="46" width="9.5546875" bestFit="1" customWidth="1"/>
    <col min="47" max="47" width="10.88671875" bestFit="1" customWidth="1"/>
    <col min="48" max="48" width="9.88671875" bestFit="1" customWidth="1"/>
    <col min="49" max="49" width="11.109375" bestFit="1" customWidth="1"/>
    <col min="50" max="50" width="20.109375" bestFit="1" customWidth="1"/>
    <col min="51" max="51" width="12" bestFit="1" customWidth="1"/>
    <col min="52" max="52" width="10.109375" customWidth="1"/>
    <col min="53" max="53" width="8" bestFit="1" customWidth="1"/>
    <col min="54" max="54" width="12.44140625" bestFit="1" customWidth="1"/>
    <col min="55" max="55" width="18.21875" bestFit="1" customWidth="1"/>
    <col min="56" max="56" width="8.6640625" bestFit="1" customWidth="1"/>
    <col min="57" max="57" width="9.33203125" bestFit="1" customWidth="1"/>
    <col min="58" max="59" width="10.109375" bestFit="1" customWidth="1"/>
    <col min="60" max="60" width="5.5546875" bestFit="1" customWidth="1"/>
    <col min="61" max="61" width="9.33203125" bestFit="1" customWidth="1"/>
    <col min="62" max="63" width="8.77734375" bestFit="1" customWidth="1"/>
    <col min="64" max="64" width="13.77734375" bestFit="1" customWidth="1"/>
    <col min="65" max="65" width="9.6640625" customWidth="1"/>
    <col min="66" max="66" width="10.88671875" bestFit="1" customWidth="1"/>
    <col min="67" max="67" width="8.6640625" bestFit="1" customWidth="1"/>
    <col min="68" max="68" width="9" bestFit="1" customWidth="1"/>
    <col min="69" max="69" width="10.33203125" bestFit="1" customWidth="1"/>
    <col min="70" max="70" width="12.33203125" bestFit="1" customWidth="1"/>
    <col min="71" max="71" width="9.109375" bestFit="1" customWidth="1"/>
    <col min="72" max="72" width="9.6640625" bestFit="1" customWidth="1"/>
    <col min="73" max="73" width="7" bestFit="1" customWidth="1"/>
    <col min="74" max="74" width="10.44140625" bestFit="1" customWidth="1"/>
    <col min="75" max="75" width="11.33203125" bestFit="1" customWidth="1"/>
    <col min="76" max="76" width="10.33203125" bestFit="1" customWidth="1"/>
    <col min="77" max="77" width="9.33203125" bestFit="1" customWidth="1"/>
    <col min="78" max="78" width="7.44140625" bestFit="1" customWidth="1"/>
    <col min="79" max="79" width="11.44140625" bestFit="1" customWidth="1"/>
    <col min="80" max="81" width="6.5546875" bestFit="1" customWidth="1"/>
    <col min="82" max="82" width="9.109375" bestFit="1" customWidth="1"/>
    <col min="83" max="83" width="7.6640625" bestFit="1" customWidth="1"/>
    <col min="84" max="84" width="6.88671875" bestFit="1" customWidth="1"/>
    <col min="85" max="85" width="9.88671875" bestFit="1" customWidth="1"/>
    <col min="86" max="86" width="8.109375" bestFit="1" customWidth="1"/>
    <col min="87" max="87" width="8.88671875" bestFit="1" customWidth="1"/>
    <col min="88" max="88" width="12.77734375" bestFit="1" customWidth="1"/>
    <col min="89" max="89" width="8.44140625" bestFit="1" customWidth="1"/>
    <col min="90" max="90" width="14.109375" bestFit="1" customWidth="1"/>
    <col min="91" max="91" width="9.44140625" bestFit="1" customWidth="1"/>
    <col min="92" max="92" width="9" bestFit="1" customWidth="1"/>
    <col min="93" max="93" width="12.33203125" bestFit="1" customWidth="1"/>
    <col min="94" max="94" width="8.21875" bestFit="1" customWidth="1"/>
    <col min="95" max="95" width="10.5546875" bestFit="1" customWidth="1"/>
    <col min="96" max="96" width="8.77734375" bestFit="1" customWidth="1"/>
    <col min="97" max="97" width="14.33203125" bestFit="1" customWidth="1"/>
    <col min="98" max="98" width="11" bestFit="1" customWidth="1"/>
    <col min="99" max="99" width="13.77734375" bestFit="1" customWidth="1"/>
    <col min="100" max="100" width="13.44140625" bestFit="1" customWidth="1"/>
    <col min="101" max="101" width="10.6640625" bestFit="1" customWidth="1"/>
    <col min="102" max="102" width="10.77734375" bestFit="1" customWidth="1"/>
    <col min="103" max="103" width="8.109375" bestFit="1" customWidth="1"/>
    <col min="104" max="104" width="12.5546875" bestFit="1" customWidth="1"/>
    <col min="105" max="105" width="12.44140625" bestFit="1" customWidth="1"/>
    <col min="106" max="106" width="11.21875" bestFit="1" customWidth="1"/>
    <col min="107" max="107" width="9.33203125" bestFit="1" customWidth="1"/>
    <col min="108" max="108" width="10.77734375" bestFit="1" customWidth="1"/>
    <col min="109" max="109" width="10.21875" bestFit="1" customWidth="1"/>
    <col min="110" max="110" width="11.21875" bestFit="1" customWidth="1"/>
    <col min="111" max="111" width="13.77734375" bestFit="1" customWidth="1"/>
    <col min="112" max="112" width="10.77734375" bestFit="1" customWidth="1"/>
    <col min="113" max="113" width="14.33203125" bestFit="1" customWidth="1"/>
    <col min="114" max="114" width="10.21875" bestFit="1" customWidth="1"/>
    <col min="115" max="115" width="8.109375" bestFit="1" customWidth="1"/>
    <col min="116" max="116" width="13.44140625" bestFit="1" customWidth="1"/>
    <col min="117" max="117" width="14.109375" bestFit="1" customWidth="1"/>
    <col min="118" max="118" width="11.6640625" bestFit="1" customWidth="1"/>
    <col min="119" max="119" width="7.6640625" bestFit="1" customWidth="1"/>
    <col min="120" max="120" width="9.109375" bestFit="1" customWidth="1"/>
    <col min="121" max="121" width="18.109375" bestFit="1" customWidth="1"/>
    <col min="122" max="122" width="9.77734375" bestFit="1" customWidth="1"/>
    <col min="123" max="123" width="8.33203125" bestFit="1" customWidth="1"/>
    <col min="124" max="124" width="10.33203125" bestFit="1" customWidth="1"/>
    <col min="125" max="125" width="10.109375" bestFit="1" customWidth="1"/>
    <col min="126" max="126" width="19.21875" bestFit="1" customWidth="1"/>
    <col min="127" max="127" width="11.109375" bestFit="1" customWidth="1"/>
    <col min="128" max="128" width="7.109375" bestFit="1" customWidth="1"/>
    <col min="129" max="129" width="12.33203125" bestFit="1" customWidth="1"/>
    <col min="130" max="130" width="9.109375" bestFit="1" customWidth="1"/>
    <col min="131" max="131" width="10.33203125" bestFit="1" customWidth="1"/>
    <col min="132" max="132" width="7.88671875" bestFit="1" customWidth="1"/>
    <col min="133" max="133" width="10.6640625" bestFit="1" customWidth="1"/>
    <col min="134" max="134" width="8.44140625" bestFit="1" customWidth="1"/>
    <col min="135" max="135" width="10" bestFit="1" customWidth="1"/>
    <col min="136" max="136" width="12.21875" bestFit="1" customWidth="1"/>
    <col min="137" max="137" width="31.5546875" bestFit="1" customWidth="1"/>
    <col min="138" max="138" width="12.88671875" bestFit="1" customWidth="1"/>
    <col min="139" max="139" width="13.77734375" bestFit="1" customWidth="1"/>
    <col min="140" max="140" width="9.77734375" bestFit="1" customWidth="1"/>
    <col min="141" max="141" width="8.44140625" bestFit="1" customWidth="1"/>
    <col min="142" max="142" width="11.88671875" bestFit="1" customWidth="1"/>
    <col min="143" max="143" width="11.6640625" bestFit="1" customWidth="1"/>
    <col min="144" max="144" width="10.21875" bestFit="1" customWidth="1"/>
    <col min="145" max="145" width="10.33203125" bestFit="1" customWidth="1"/>
    <col min="146" max="146" width="9.88671875" bestFit="1" customWidth="1"/>
    <col min="147" max="147" width="13.5546875" bestFit="1" customWidth="1"/>
    <col min="148" max="148" width="7.88671875" bestFit="1" customWidth="1"/>
    <col min="149" max="149" width="10.77734375" bestFit="1" customWidth="1"/>
    <col min="150" max="150" width="8.5546875" bestFit="1" customWidth="1"/>
    <col min="151" max="151" width="11.21875" bestFit="1" customWidth="1"/>
    <col min="152" max="152" width="9.88671875" bestFit="1" customWidth="1"/>
    <col min="153" max="153" width="12.88671875" bestFit="1" customWidth="1"/>
    <col min="154" max="154" width="7.33203125" bestFit="1" customWidth="1"/>
    <col min="155" max="155" width="10.21875" bestFit="1" customWidth="1"/>
    <col min="156" max="156" width="10.6640625" bestFit="1" customWidth="1"/>
    <col min="157" max="157" width="10.44140625" bestFit="1" customWidth="1"/>
    <col min="158" max="158" width="13.109375" bestFit="1" customWidth="1"/>
    <col min="159" max="159" width="7.44140625" bestFit="1" customWidth="1"/>
    <col min="160" max="160" width="20.77734375" bestFit="1" customWidth="1"/>
    <col min="161" max="161" width="9.109375" bestFit="1" customWidth="1"/>
    <col min="162" max="162" width="9" bestFit="1" customWidth="1"/>
    <col min="163" max="163" width="6" bestFit="1" customWidth="1"/>
    <col min="164" max="165" width="9.77734375" bestFit="1" customWidth="1"/>
    <col min="166" max="166" width="21.21875" bestFit="1" customWidth="1"/>
    <col min="167" max="167" width="17" bestFit="1" customWidth="1"/>
    <col min="168" max="168" width="10.44140625" bestFit="1" customWidth="1"/>
    <col min="169" max="169" width="12.44140625" bestFit="1" customWidth="1"/>
    <col min="170" max="170" width="11.88671875" bestFit="1" customWidth="1"/>
    <col min="171" max="171" width="10.33203125" bestFit="1" customWidth="1"/>
    <col min="172" max="172" width="9.44140625" bestFit="1" customWidth="1"/>
    <col min="173" max="173" width="12" bestFit="1" customWidth="1"/>
    <col min="174" max="174" width="7.44140625" customWidth="1"/>
    <col min="175" max="175" width="13.77734375" bestFit="1" customWidth="1"/>
    <col min="176" max="176" width="7.44140625" bestFit="1" customWidth="1"/>
    <col min="177" max="177" width="15.33203125" bestFit="1" customWidth="1"/>
    <col min="178" max="178" width="12.33203125" bestFit="1" customWidth="1"/>
    <col min="179" max="179" width="11.21875" bestFit="1" customWidth="1"/>
    <col min="180" max="180" width="10.44140625" bestFit="1" customWidth="1"/>
    <col min="181" max="181" width="9.44140625" bestFit="1" customWidth="1"/>
    <col min="182" max="182" width="9.88671875" bestFit="1" customWidth="1"/>
    <col min="183" max="183" width="13.77734375" bestFit="1" customWidth="1"/>
    <col min="184" max="184" width="8.21875" bestFit="1" customWidth="1"/>
    <col min="185" max="185" width="12.88671875" bestFit="1" customWidth="1"/>
    <col min="186" max="186" width="22" bestFit="1" customWidth="1"/>
    <col min="187" max="187" width="7.44140625" customWidth="1"/>
  </cols>
  <sheetData>
    <row r="1" spans="1:14" x14ac:dyDescent="0.3">
      <c r="A1" t="s">
        <v>412</v>
      </c>
      <c r="B1" t="s">
        <v>42</v>
      </c>
      <c r="C1" t="s">
        <v>43</v>
      </c>
      <c r="D1" t="s">
        <v>202</v>
      </c>
      <c r="E1" t="s">
        <v>79</v>
      </c>
      <c r="F1" t="s">
        <v>36</v>
      </c>
      <c r="G1" t="s">
        <v>46</v>
      </c>
      <c r="H1" t="s">
        <v>203</v>
      </c>
      <c r="I1" t="s">
        <v>55</v>
      </c>
      <c r="J1" t="s">
        <v>2</v>
      </c>
      <c r="K1" t="s">
        <v>204</v>
      </c>
      <c r="L1" t="s">
        <v>18</v>
      </c>
      <c r="M1" t="s">
        <v>205</v>
      </c>
      <c r="N1" t="s">
        <v>411</v>
      </c>
    </row>
    <row r="2" spans="1:14" x14ac:dyDescent="0.3">
      <c r="A2" s="2">
        <v>43852</v>
      </c>
      <c r="B2">
        <v>0</v>
      </c>
      <c r="C2">
        <v>0</v>
      </c>
      <c r="D2">
        <v>548</v>
      </c>
      <c r="E2">
        <v>0</v>
      </c>
      <c r="F2">
        <v>0</v>
      </c>
      <c r="G2">
        <v>0</v>
      </c>
      <c r="H2">
        <v>0</v>
      </c>
      <c r="I2">
        <v>0</v>
      </c>
      <c r="J2">
        <v>2</v>
      </c>
      <c r="K2">
        <v>1</v>
      </c>
      <c r="L2">
        <v>1</v>
      </c>
      <c r="M2">
        <v>0</v>
      </c>
      <c r="N2">
        <v>552</v>
      </c>
    </row>
    <row r="3" spans="1:14" x14ac:dyDescent="0.3">
      <c r="A3" s="2">
        <v>43853</v>
      </c>
      <c r="B3">
        <v>0</v>
      </c>
      <c r="C3">
        <v>0</v>
      </c>
      <c r="D3">
        <v>643</v>
      </c>
      <c r="E3">
        <v>0</v>
      </c>
      <c r="F3">
        <v>0</v>
      </c>
      <c r="G3">
        <v>0</v>
      </c>
      <c r="H3">
        <v>0</v>
      </c>
      <c r="I3">
        <v>0</v>
      </c>
      <c r="J3">
        <v>2</v>
      </c>
      <c r="K3">
        <v>1</v>
      </c>
      <c r="L3">
        <v>1</v>
      </c>
      <c r="M3">
        <v>0</v>
      </c>
      <c r="N3">
        <v>647</v>
      </c>
    </row>
    <row r="4" spans="1:14" x14ac:dyDescent="0.3">
      <c r="A4" s="2">
        <v>43854</v>
      </c>
      <c r="B4">
        <v>0</v>
      </c>
      <c r="C4">
        <v>0</v>
      </c>
      <c r="D4">
        <v>920</v>
      </c>
      <c r="E4">
        <v>0</v>
      </c>
      <c r="F4">
        <v>2</v>
      </c>
      <c r="G4">
        <v>0</v>
      </c>
      <c r="H4">
        <v>0</v>
      </c>
      <c r="I4">
        <v>0</v>
      </c>
      <c r="J4">
        <v>2</v>
      </c>
      <c r="K4">
        <v>2</v>
      </c>
      <c r="L4">
        <v>2</v>
      </c>
      <c r="M4">
        <v>0</v>
      </c>
      <c r="N4">
        <v>928</v>
      </c>
    </row>
    <row r="5" spans="1:14" x14ac:dyDescent="0.3">
      <c r="A5" s="2">
        <v>43855</v>
      </c>
      <c r="B5">
        <v>0</v>
      </c>
      <c r="C5">
        <v>0</v>
      </c>
      <c r="D5">
        <v>1406</v>
      </c>
      <c r="E5">
        <v>0</v>
      </c>
      <c r="F5">
        <v>3</v>
      </c>
      <c r="G5">
        <v>0</v>
      </c>
      <c r="H5">
        <v>0</v>
      </c>
      <c r="I5">
        <v>0</v>
      </c>
      <c r="J5">
        <v>2</v>
      </c>
      <c r="K5">
        <v>2</v>
      </c>
      <c r="L5">
        <v>2</v>
      </c>
      <c r="M5">
        <v>0</v>
      </c>
      <c r="N5">
        <v>1415</v>
      </c>
    </row>
    <row r="6" spans="1:14" x14ac:dyDescent="0.3">
      <c r="A6" s="2">
        <v>43856</v>
      </c>
      <c r="B6">
        <v>4</v>
      </c>
      <c r="C6">
        <v>1</v>
      </c>
      <c r="D6">
        <v>2075</v>
      </c>
      <c r="E6">
        <v>0</v>
      </c>
      <c r="F6">
        <v>3</v>
      </c>
      <c r="G6">
        <v>0</v>
      </c>
      <c r="H6">
        <v>0</v>
      </c>
      <c r="I6">
        <v>0</v>
      </c>
      <c r="J6">
        <v>4</v>
      </c>
      <c r="K6">
        <v>3</v>
      </c>
      <c r="L6">
        <v>5</v>
      </c>
      <c r="M6">
        <v>0</v>
      </c>
      <c r="N6">
        <v>2095</v>
      </c>
    </row>
    <row r="7" spans="1:14" x14ac:dyDescent="0.3">
      <c r="A7" s="2">
        <v>43857</v>
      </c>
      <c r="B7">
        <v>5</v>
      </c>
      <c r="C7">
        <v>1</v>
      </c>
      <c r="D7">
        <v>2877</v>
      </c>
      <c r="E7">
        <v>0</v>
      </c>
      <c r="F7">
        <v>3</v>
      </c>
      <c r="G7">
        <v>1</v>
      </c>
      <c r="H7">
        <v>0</v>
      </c>
      <c r="I7">
        <v>0</v>
      </c>
      <c r="J7">
        <v>4</v>
      </c>
      <c r="K7">
        <v>4</v>
      </c>
      <c r="L7">
        <v>5</v>
      </c>
      <c r="M7">
        <v>0</v>
      </c>
      <c r="N7">
        <v>2900</v>
      </c>
    </row>
    <row r="8" spans="1:14" x14ac:dyDescent="0.3">
      <c r="A8" s="2">
        <v>43858</v>
      </c>
      <c r="B8">
        <v>5</v>
      </c>
      <c r="C8">
        <v>2</v>
      </c>
      <c r="D8">
        <v>5509</v>
      </c>
      <c r="E8">
        <v>0</v>
      </c>
      <c r="F8">
        <v>4</v>
      </c>
      <c r="G8">
        <v>4</v>
      </c>
      <c r="H8">
        <v>0</v>
      </c>
      <c r="I8">
        <v>0</v>
      </c>
      <c r="J8">
        <v>7</v>
      </c>
      <c r="K8">
        <v>4</v>
      </c>
      <c r="L8">
        <v>5</v>
      </c>
      <c r="M8">
        <v>0</v>
      </c>
      <c r="N8">
        <v>5540</v>
      </c>
    </row>
    <row r="9" spans="1:14" x14ac:dyDescent="0.3">
      <c r="A9" s="2">
        <v>43859</v>
      </c>
      <c r="B9">
        <v>6</v>
      </c>
      <c r="C9">
        <v>2</v>
      </c>
      <c r="D9">
        <v>6087</v>
      </c>
      <c r="E9">
        <v>0</v>
      </c>
      <c r="F9">
        <v>5</v>
      </c>
      <c r="G9">
        <v>4</v>
      </c>
      <c r="H9">
        <v>0</v>
      </c>
      <c r="I9">
        <v>0</v>
      </c>
      <c r="J9">
        <v>7</v>
      </c>
      <c r="K9">
        <v>4</v>
      </c>
      <c r="L9">
        <v>5</v>
      </c>
      <c r="M9">
        <v>0</v>
      </c>
      <c r="N9">
        <v>6120</v>
      </c>
    </row>
    <row r="10" spans="1:14" x14ac:dyDescent="0.3">
      <c r="A10" s="2">
        <v>43860</v>
      </c>
      <c r="B10">
        <v>9</v>
      </c>
      <c r="C10">
        <v>2</v>
      </c>
      <c r="D10">
        <v>8141</v>
      </c>
      <c r="E10">
        <v>0</v>
      </c>
      <c r="F10">
        <v>5</v>
      </c>
      <c r="G10">
        <v>4</v>
      </c>
      <c r="H10">
        <v>0</v>
      </c>
      <c r="I10">
        <v>0</v>
      </c>
      <c r="J10">
        <v>11</v>
      </c>
      <c r="K10">
        <v>4</v>
      </c>
      <c r="L10">
        <v>5</v>
      </c>
      <c r="M10">
        <v>0</v>
      </c>
      <c r="N10">
        <v>8181</v>
      </c>
    </row>
    <row r="11" spans="1:14" x14ac:dyDescent="0.3">
      <c r="A11" s="2">
        <v>43861</v>
      </c>
      <c r="B11">
        <v>9</v>
      </c>
      <c r="C11">
        <v>4</v>
      </c>
      <c r="D11">
        <v>9802</v>
      </c>
      <c r="E11">
        <v>0</v>
      </c>
      <c r="F11">
        <v>5</v>
      </c>
      <c r="G11">
        <v>5</v>
      </c>
      <c r="H11">
        <v>0</v>
      </c>
      <c r="I11">
        <v>2</v>
      </c>
      <c r="J11">
        <v>15</v>
      </c>
      <c r="K11">
        <v>11</v>
      </c>
      <c r="L11">
        <v>7</v>
      </c>
      <c r="M11">
        <v>2</v>
      </c>
      <c r="N11">
        <v>9862</v>
      </c>
    </row>
    <row r="12" spans="1:14" x14ac:dyDescent="0.3">
      <c r="A12" s="2">
        <v>43862</v>
      </c>
      <c r="B12">
        <v>12</v>
      </c>
      <c r="C12">
        <v>4</v>
      </c>
      <c r="D12">
        <v>11891</v>
      </c>
      <c r="E12">
        <v>0</v>
      </c>
      <c r="F12">
        <v>6</v>
      </c>
      <c r="G12">
        <v>8</v>
      </c>
      <c r="H12">
        <v>0</v>
      </c>
      <c r="I12">
        <v>2</v>
      </c>
      <c r="J12">
        <v>20</v>
      </c>
      <c r="K12">
        <v>12</v>
      </c>
      <c r="L12">
        <v>8</v>
      </c>
      <c r="M12">
        <v>2</v>
      </c>
      <c r="N12">
        <v>11965</v>
      </c>
    </row>
    <row r="13" spans="1:14" x14ac:dyDescent="0.3">
      <c r="A13" s="2">
        <v>43863</v>
      </c>
      <c r="B13">
        <v>12</v>
      </c>
      <c r="C13">
        <v>4</v>
      </c>
      <c r="D13">
        <v>16630</v>
      </c>
      <c r="E13">
        <v>0</v>
      </c>
      <c r="F13">
        <v>6</v>
      </c>
      <c r="G13">
        <v>10</v>
      </c>
      <c r="H13">
        <v>0</v>
      </c>
      <c r="I13">
        <v>2</v>
      </c>
      <c r="J13">
        <v>20</v>
      </c>
      <c r="K13">
        <v>15</v>
      </c>
      <c r="L13">
        <v>8</v>
      </c>
      <c r="M13">
        <v>2</v>
      </c>
      <c r="N13">
        <v>16709</v>
      </c>
    </row>
    <row r="14" spans="1:14" x14ac:dyDescent="0.3">
      <c r="A14" s="2">
        <v>43864</v>
      </c>
      <c r="B14">
        <v>12</v>
      </c>
      <c r="C14">
        <v>4</v>
      </c>
      <c r="D14">
        <v>19716</v>
      </c>
      <c r="E14">
        <v>0</v>
      </c>
      <c r="F14">
        <v>6</v>
      </c>
      <c r="G14">
        <v>12</v>
      </c>
      <c r="H14">
        <v>0</v>
      </c>
      <c r="I14">
        <v>2</v>
      </c>
      <c r="J14">
        <v>20</v>
      </c>
      <c r="K14">
        <v>15</v>
      </c>
      <c r="L14">
        <v>11</v>
      </c>
      <c r="M14">
        <v>2</v>
      </c>
      <c r="N14">
        <v>19800</v>
      </c>
    </row>
    <row r="15" spans="1:14" x14ac:dyDescent="0.3">
      <c r="A15" s="2">
        <v>43865</v>
      </c>
      <c r="B15">
        <v>13</v>
      </c>
      <c r="C15">
        <v>4</v>
      </c>
      <c r="D15">
        <v>23707</v>
      </c>
      <c r="E15">
        <v>0</v>
      </c>
      <c r="F15">
        <v>6</v>
      </c>
      <c r="G15">
        <v>12</v>
      </c>
      <c r="H15">
        <v>0</v>
      </c>
      <c r="I15">
        <v>2</v>
      </c>
      <c r="J15">
        <v>22</v>
      </c>
      <c r="K15">
        <v>16</v>
      </c>
      <c r="L15">
        <v>11</v>
      </c>
      <c r="M15">
        <v>2</v>
      </c>
      <c r="N15">
        <v>23795</v>
      </c>
    </row>
    <row r="16" spans="1:14" x14ac:dyDescent="0.3">
      <c r="A16" s="2">
        <v>43866</v>
      </c>
      <c r="B16">
        <v>13</v>
      </c>
      <c r="C16">
        <v>5</v>
      </c>
      <c r="D16">
        <v>27440</v>
      </c>
      <c r="E16">
        <v>0</v>
      </c>
      <c r="F16">
        <v>6</v>
      </c>
      <c r="G16">
        <v>12</v>
      </c>
      <c r="H16">
        <v>0</v>
      </c>
      <c r="I16">
        <v>2</v>
      </c>
      <c r="J16">
        <v>22</v>
      </c>
      <c r="K16">
        <v>19</v>
      </c>
      <c r="L16">
        <v>11</v>
      </c>
      <c r="M16">
        <v>2</v>
      </c>
      <c r="N16">
        <v>27532</v>
      </c>
    </row>
    <row r="17" spans="1:14" x14ac:dyDescent="0.3">
      <c r="A17" s="2">
        <v>43867</v>
      </c>
      <c r="B17">
        <v>14</v>
      </c>
      <c r="C17">
        <v>5</v>
      </c>
      <c r="D17">
        <v>30587</v>
      </c>
      <c r="E17">
        <v>0</v>
      </c>
      <c r="F17">
        <v>6</v>
      </c>
      <c r="G17">
        <v>12</v>
      </c>
      <c r="H17">
        <v>0</v>
      </c>
      <c r="I17">
        <v>2</v>
      </c>
      <c r="J17">
        <v>22</v>
      </c>
      <c r="K17">
        <v>23</v>
      </c>
      <c r="L17">
        <v>11</v>
      </c>
      <c r="M17">
        <v>2</v>
      </c>
      <c r="N17">
        <v>30684</v>
      </c>
    </row>
    <row r="18" spans="1:14" x14ac:dyDescent="0.3">
      <c r="A18" s="2">
        <v>43868</v>
      </c>
      <c r="B18">
        <v>15</v>
      </c>
      <c r="C18">
        <v>7</v>
      </c>
      <c r="D18">
        <v>34110</v>
      </c>
      <c r="E18">
        <v>0</v>
      </c>
      <c r="F18">
        <v>6</v>
      </c>
      <c r="G18">
        <v>13</v>
      </c>
      <c r="H18">
        <v>0</v>
      </c>
      <c r="I18">
        <v>3</v>
      </c>
      <c r="J18">
        <v>25</v>
      </c>
      <c r="K18">
        <v>24</v>
      </c>
      <c r="L18">
        <v>11</v>
      </c>
      <c r="M18">
        <v>3</v>
      </c>
      <c r="N18">
        <v>34217</v>
      </c>
    </row>
    <row r="19" spans="1:14" x14ac:dyDescent="0.3">
      <c r="A19" s="2">
        <v>43869</v>
      </c>
      <c r="B19">
        <v>15</v>
      </c>
      <c r="C19">
        <v>7</v>
      </c>
      <c r="D19">
        <v>36814</v>
      </c>
      <c r="E19">
        <v>0</v>
      </c>
      <c r="F19">
        <v>11</v>
      </c>
      <c r="G19">
        <v>13</v>
      </c>
      <c r="H19">
        <v>0</v>
      </c>
      <c r="I19">
        <v>3</v>
      </c>
      <c r="J19">
        <v>25</v>
      </c>
      <c r="K19">
        <v>24</v>
      </c>
      <c r="L19">
        <v>11</v>
      </c>
      <c r="M19">
        <v>3</v>
      </c>
      <c r="N19">
        <v>36926</v>
      </c>
    </row>
    <row r="20" spans="1:14" x14ac:dyDescent="0.3">
      <c r="A20" s="2">
        <v>43870</v>
      </c>
      <c r="B20">
        <v>15</v>
      </c>
      <c r="C20">
        <v>7</v>
      </c>
      <c r="D20">
        <v>39829</v>
      </c>
      <c r="E20">
        <v>0</v>
      </c>
      <c r="F20">
        <v>11</v>
      </c>
      <c r="G20">
        <v>14</v>
      </c>
      <c r="H20">
        <v>0</v>
      </c>
      <c r="I20">
        <v>3</v>
      </c>
      <c r="J20">
        <v>26</v>
      </c>
      <c r="K20">
        <v>25</v>
      </c>
      <c r="L20">
        <v>11</v>
      </c>
      <c r="M20">
        <v>3</v>
      </c>
      <c r="N20">
        <v>39944</v>
      </c>
    </row>
    <row r="21" spans="1:14" x14ac:dyDescent="0.3">
      <c r="A21" s="2">
        <v>43871</v>
      </c>
      <c r="B21">
        <v>15</v>
      </c>
      <c r="C21">
        <v>7</v>
      </c>
      <c r="D21">
        <v>42354</v>
      </c>
      <c r="E21">
        <v>0</v>
      </c>
      <c r="F21">
        <v>11</v>
      </c>
      <c r="G21">
        <v>14</v>
      </c>
      <c r="H21">
        <v>0</v>
      </c>
      <c r="I21">
        <v>3</v>
      </c>
      <c r="J21">
        <v>26</v>
      </c>
      <c r="K21">
        <v>27</v>
      </c>
      <c r="L21">
        <v>11</v>
      </c>
      <c r="M21">
        <v>8</v>
      </c>
      <c r="N21">
        <v>42476</v>
      </c>
    </row>
    <row r="22" spans="1:14" x14ac:dyDescent="0.3">
      <c r="A22" s="2">
        <v>43872</v>
      </c>
      <c r="B22">
        <v>15</v>
      </c>
      <c r="C22">
        <v>7</v>
      </c>
      <c r="D22">
        <v>44386</v>
      </c>
      <c r="E22">
        <v>0</v>
      </c>
      <c r="F22">
        <v>11</v>
      </c>
      <c r="G22">
        <v>16</v>
      </c>
      <c r="H22">
        <v>0</v>
      </c>
      <c r="I22">
        <v>3</v>
      </c>
      <c r="J22">
        <v>26</v>
      </c>
      <c r="K22">
        <v>28</v>
      </c>
      <c r="L22">
        <v>12</v>
      </c>
      <c r="M22">
        <v>8</v>
      </c>
      <c r="N22">
        <v>44512</v>
      </c>
    </row>
    <row r="23" spans="1:14" x14ac:dyDescent="0.3">
      <c r="A23" s="2">
        <v>43873</v>
      </c>
      <c r="B23">
        <v>15</v>
      </c>
      <c r="C23">
        <v>7</v>
      </c>
      <c r="D23">
        <v>44759</v>
      </c>
      <c r="E23">
        <v>0</v>
      </c>
      <c r="F23">
        <v>11</v>
      </c>
      <c r="G23">
        <v>16</v>
      </c>
      <c r="H23">
        <v>0</v>
      </c>
      <c r="I23">
        <v>3</v>
      </c>
      <c r="J23">
        <v>28</v>
      </c>
      <c r="K23">
        <v>28</v>
      </c>
      <c r="L23">
        <v>12</v>
      </c>
      <c r="M23">
        <v>9</v>
      </c>
      <c r="N23">
        <v>44888</v>
      </c>
    </row>
    <row r="24" spans="1:14" x14ac:dyDescent="0.3">
      <c r="A24" s="2">
        <v>43874</v>
      </c>
      <c r="B24">
        <v>15</v>
      </c>
      <c r="C24">
        <v>7</v>
      </c>
      <c r="D24">
        <v>59895</v>
      </c>
      <c r="E24">
        <v>0</v>
      </c>
      <c r="F24">
        <v>11</v>
      </c>
      <c r="G24">
        <v>16</v>
      </c>
      <c r="H24">
        <v>0</v>
      </c>
      <c r="I24">
        <v>3</v>
      </c>
      <c r="J24">
        <v>28</v>
      </c>
      <c r="K24">
        <v>28</v>
      </c>
      <c r="L24">
        <v>13</v>
      </c>
      <c r="M24">
        <v>9</v>
      </c>
      <c r="N24">
        <v>60025</v>
      </c>
    </row>
    <row r="25" spans="1:14" x14ac:dyDescent="0.3">
      <c r="A25" s="2">
        <v>43875</v>
      </c>
      <c r="B25">
        <v>15</v>
      </c>
      <c r="C25">
        <v>7</v>
      </c>
      <c r="D25">
        <v>66358</v>
      </c>
      <c r="E25">
        <v>0</v>
      </c>
      <c r="F25">
        <v>11</v>
      </c>
      <c r="G25">
        <v>16</v>
      </c>
      <c r="H25">
        <v>0</v>
      </c>
      <c r="I25">
        <v>3</v>
      </c>
      <c r="J25">
        <v>29</v>
      </c>
      <c r="K25">
        <v>28</v>
      </c>
      <c r="L25">
        <v>13</v>
      </c>
      <c r="M25">
        <v>9</v>
      </c>
      <c r="N25">
        <v>66489</v>
      </c>
    </row>
    <row r="26" spans="1:14" x14ac:dyDescent="0.3">
      <c r="A26" s="2">
        <v>43876</v>
      </c>
      <c r="B26">
        <v>15</v>
      </c>
      <c r="C26">
        <v>7</v>
      </c>
      <c r="D26">
        <v>68413</v>
      </c>
      <c r="E26">
        <v>0</v>
      </c>
      <c r="F26">
        <v>12</v>
      </c>
      <c r="G26">
        <v>16</v>
      </c>
      <c r="H26">
        <v>0</v>
      </c>
      <c r="I26">
        <v>3</v>
      </c>
      <c r="J26">
        <v>43</v>
      </c>
      <c r="K26">
        <v>28</v>
      </c>
      <c r="L26">
        <v>13</v>
      </c>
      <c r="M26">
        <v>9</v>
      </c>
      <c r="N26">
        <v>68559</v>
      </c>
    </row>
    <row r="27" spans="1:14" x14ac:dyDescent="0.3">
      <c r="A27" s="2">
        <v>43877</v>
      </c>
      <c r="B27">
        <v>15</v>
      </c>
      <c r="C27">
        <v>7</v>
      </c>
      <c r="D27">
        <v>70513</v>
      </c>
      <c r="E27">
        <v>0</v>
      </c>
      <c r="F27">
        <v>12</v>
      </c>
      <c r="G27">
        <v>16</v>
      </c>
      <c r="H27">
        <v>0</v>
      </c>
      <c r="I27">
        <v>3</v>
      </c>
      <c r="J27">
        <v>59</v>
      </c>
      <c r="K27">
        <v>29</v>
      </c>
      <c r="L27">
        <v>13</v>
      </c>
      <c r="M27">
        <v>9</v>
      </c>
      <c r="N27">
        <v>70676</v>
      </c>
    </row>
    <row r="28" spans="1:14" x14ac:dyDescent="0.3">
      <c r="A28" s="2">
        <v>43878</v>
      </c>
      <c r="B28">
        <v>15</v>
      </c>
      <c r="C28">
        <v>8</v>
      </c>
      <c r="D28">
        <v>72434</v>
      </c>
      <c r="E28">
        <v>0</v>
      </c>
      <c r="F28">
        <v>12</v>
      </c>
      <c r="G28">
        <v>16</v>
      </c>
      <c r="H28">
        <v>0</v>
      </c>
      <c r="I28">
        <v>3</v>
      </c>
      <c r="J28">
        <v>66</v>
      </c>
      <c r="K28">
        <v>30</v>
      </c>
      <c r="L28">
        <v>13</v>
      </c>
      <c r="M28">
        <v>9</v>
      </c>
      <c r="N28">
        <v>72606</v>
      </c>
    </row>
    <row r="29" spans="1:14" x14ac:dyDescent="0.3">
      <c r="A29" s="2">
        <v>43879</v>
      </c>
      <c r="B29">
        <v>15</v>
      </c>
      <c r="C29">
        <v>8</v>
      </c>
      <c r="D29">
        <v>74211</v>
      </c>
      <c r="E29">
        <v>0</v>
      </c>
      <c r="F29">
        <v>12</v>
      </c>
      <c r="G29">
        <v>16</v>
      </c>
      <c r="H29">
        <v>0</v>
      </c>
      <c r="I29">
        <v>3</v>
      </c>
      <c r="J29">
        <v>74</v>
      </c>
      <c r="K29">
        <v>31</v>
      </c>
      <c r="L29">
        <v>13</v>
      </c>
      <c r="M29">
        <v>9</v>
      </c>
      <c r="N29">
        <v>74392</v>
      </c>
    </row>
    <row r="30" spans="1:14" x14ac:dyDescent="0.3">
      <c r="A30" s="2">
        <v>43880</v>
      </c>
      <c r="B30">
        <v>15</v>
      </c>
      <c r="C30">
        <v>8</v>
      </c>
      <c r="D30">
        <v>74619</v>
      </c>
      <c r="E30">
        <v>0</v>
      </c>
      <c r="F30">
        <v>12</v>
      </c>
      <c r="G30">
        <v>16</v>
      </c>
      <c r="H30">
        <v>2</v>
      </c>
      <c r="I30">
        <v>3</v>
      </c>
      <c r="J30">
        <v>84</v>
      </c>
      <c r="K30">
        <v>31</v>
      </c>
      <c r="L30">
        <v>13</v>
      </c>
      <c r="M30">
        <v>9</v>
      </c>
      <c r="N30">
        <v>74812</v>
      </c>
    </row>
    <row r="31" spans="1:14" x14ac:dyDescent="0.3">
      <c r="A31" s="2">
        <v>43881</v>
      </c>
      <c r="B31">
        <v>15</v>
      </c>
      <c r="C31">
        <v>8</v>
      </c>
      <c r="D31">
        <v>75077</v>
      </c>
      <c r="E31">
        <v>0</v>
      </c>
      <c r="F31">
        <v>12</v>
      </c>
      <c r="G31">
        <v>16</v>
      </c>
      <c r="H31">
        <v>5</v>
      </c>
      <c r="I31">
        <v>3</v>
      </c>
      <c r="J31">
        <v>94</v>
      </c>
      <c r="K31">
        <v>104</v>
      </c>
      <c r="L31">
        <v>13</v>
      </c>
      <c r="M31">
        <v>9</v>
      </c>
      <c r="N31">
        <v>75356</v>
      </c>
    </row>
    <row r="32" spans="1:14" x14ac:dyDescent="0.3">
      <c r="A32" s="2">
        <v>43882</v>
      </c>
      <c r="B32">
        <v>15</v>
      </c>
      <c r="C32">
        <v>9</v>
      </c>
      <c r="D32">
        <v>75550</v>
      </c>
      <c r="E32">
        <v>0</v>
      </c>
      <c r="F32">
        <v>12</v>
      </c>
      <c r="G32">
        <v>16</v>
      </c>
      <c r="H32">
        <v>18</v>
      </c>
      <c r="I32">
        <v>20</v>
      </c>
      <c r="J32">
        <v>105</v>
      </c>
      <c r="K32">
        <v>204</v>
      </c>
      <c r="L32">
        <v>15</v>
      </c>
      <c r="M32">
        <v>9</v>
      </c>
      <c r="N32">
        <v>75973</v>
      </c>
    </row>
    <row r="33" spans="1:14" x14ac:dyDescent="0.3">
      <c r="A33" s="2">
        <v>43883</v>
      </c>
      <c r="B33">
        <v>15</v>
      </c>
      <c r="C33">
        <v>9</v>
      </c>
      <c r="D33">
        <v>77001</v>
      </c>
      <c r="E33">
        <v>0</v>
      </c>
      <c r="F33">
        <v>12</v>
      </c>
      <c r="G33">
        <v>16</v>
      </c>
      <c r="H33">
        <v>28</v>
      </c>
      <c r="I33">
        <v>62</v>
      </c>
      <c r="J33">
        <v>122</v>
      </c>
      <c r="K33">
        <v>433</v>
      </c>
      <c r="L33">
        <v>15</v>
      </c>
      <c r="M33">
        <v>9</v>
      </c>
      <c r="N33">
        <v>77722</v>
      </c>
    </row>
    <row r="34" spans="1:14" x14ac:dyDescent="0.3">
      <c r="A34" s="2">
        <v>43884</v>
      </c>
      <c r="B34">
        <v>15</v>
      </c>
      <c r="C34">
        <v>9</v>
      </c>
      <c r="D34">
        <v>77022</v>
      </c>
      <c r="E34">
        <v>0</v>
      </c>
      <c r="F34">
        <v>12</v>
      </c>
      <c r="G34">
        <v>16</v>
      </c>
      <c r="H34">
        <v>43</v>
      </c>
      <c r="I34">
        <v>155</v>
      </c>
      <c r="J34">
        <v>147</v>
      </c>
      <c r="K34">
        <v>602</v>
      </c>
      <c r="L34">
        <v>15</v>
      </c>
      <c r="M34">
        <v>9</v>
      </c>
      <c r="N34">
        <v>78045</v>
      </c>
    </row>
    <row r="35" spans="1:14" x14ac:dyDescent="0.3">
      <c r="A35" s="2">
        <v>43885</v>
      </c>
      <c r="B35">
        <v>15</v>
      </c>
      <c r="C35">
        <v>10</v>
      </c>
      <c r="D35">
        <v>77241</v>
      </c>
      <c r="E35">
        <v>0</v>
      </c>
      <c r="F35">
        <v>12</v>
      </c>
      <c r="G35">
        <v>16</v>
      </c>
      <c r="H35">
        <v>61</v>
      </c>
      <c r="I35">
        <v>229</v>
      </c>
      <c r="J35">
        <v>159</v>
      </c>
      <c r="K35">
        <v>833</v>
      </c>
      <c r="L35">
        <v>51</v>
      </c>
      <c r="M35">
        <v>13</v>
      </c>
      <c r="N35">
        <v>78640</v>
      </c>
    </row>
    <row r="36" spans="1:14" x14ac:dyDescent="0.3">
      <c r="A36" s="2">
        <v>43886</v>
      </c>
      <c r="B36">
        <v>15</v>
      </c>
      <c r="C36">
        <v>11</v>
      </c>
      <c r="D36">
        <v>77754</v>
      </c>
      <c r="E36">
        <v>0</v>
      </c>
      <c r="F36">
        <v>14</v>
      </c>
      <c r="G36">
        <v>17</v>
      </c>
      <c r="H36">
        <v>95</v>
      </c>
      <c r="I36">
        <v>322</v>
      </c>
      <c r="J36">
        <v>170</v>
      </c>
      <c r="K36">
        <v>977</v>
      </c>
      <c r="L36">
        <v>51</v>
      </c>
      <c r="M36">
        <v>13</v>
      </c>
      <c r="N36">
        <v>79439</v>
      </c>
    </row>
    <row r="37" spans="1:14" x14ac:dyDescent="0.3">
      <c r="A37" s="2">
        <v>43887</v>
      </c>
      <c r="B37">
        <v>15</v>
      </c>
      <c r="C37">
        <v>11</v>
      </c>
      <c r="D37">
        <v>78166</v>
      </c>
      <c r="E37">
        <v>0</v>
      </c>
      <c r="F37">
        <v>18</v>
      </c>
      <c r="G37">
        <v>27</v>
      </c>
      <c r="H37">
        <v>139</v>
      </c>
      <c r="I37">
        <v>453</v>
      </c>
      <c r="J37">
        <v>189</v>
      </c>
      <c r="K37">
        <v>1261</v>
      </c>
      <c r="L37">
        <v>57</v>
      </c>
      <c r="M37">
        <v>13</v>
      </c>
      <c r="N37">
        <v>80349</v>
      </c>
    </row>
    <row r="38" spans="1:14" x14ac:dyDescent="0.3">
      <c r="A38" s="2">
        <v>43888</v>
      </c>
      <c r="B38">
        <v>15</v>
      </c>
      <c r="C38">
        <v>13</v>
      </c>
      <c r="D38">
        <v>78600</v>
      </c>
      <c r="E38">
        <v>1</v>
      </c>
      <c r="F38">
        <v>38</v>
      </c>
      <c r="G38">
        <v>46</v>
      </c>
      <c r="H38">
        <v>245</v>
      </c>
      <c r="I38">
        <v>655</v>
      </c>
      <c r="J38">
        <v>214</v>
      </c>
      <c r="K38">
        <v>1766</v>
      </c>
      <c r="L38">
        <v>58</v>
      </c>
      <c r="M38">
        <v>15</v>
      </c>
      <c r="N38">
        <v>81666</v>
      </c>
    </row>
    <row r="39" spans="1:14" x14ac:dyDescent="0.3">
      <c r="A39" s="2">
        <v>43889</v>
      </c>
      <c r="B39">
        <v>15</v>
      </c>
      <c r="C39">
        <v>14</v>
      </c>
      <c r="D39">
        <v>78928</v>
      </c>
      <c r="E39">
        <v>1</v>
      </c>
      <c r="F39">
        <v>57</v>
      </c>
      <c r="G39">
        <v>48</v>
      </c>
      <c r="H39">
        <v>388</v>
      </c>
      <c r="I39">
        <v>888</v>
      </c>
      <c r="J39">
        <v>228</v>
      </c>
      <c r="K39">
        <v>2337</v>
      </c>
      <c r="L39">
        <v>60</v>
      </c>
      <c r="M39">
        <v>20</v>
      </c>
      <c r="N39">
        <v>82984</v>
      </c>
    </row>
    <row r="40" spans="1:14" x14ac:dyDescent="0.3">
      <c r="A40" s="2">
        <v>43890</v>
      </c>
      <c r="B40">
        <v>25</v>
      </c>
      <c r="C40">
        <v>20</v>
      </c>
      <c r="D40">
        <v>79356</v>
      </c>
      <c r="E40">
        <v>3</v>
      </c>
      <c r="F40">
        <v>100</v>
      </c>
      <c r="G40">
        <v>79</v>
      </c>
      <c r="H40">
        <v>593</v>
      </c>
      <c r="I40">
        <v>1128</v>
      </c>
      <c r="J40">
        <v>241</v>
      </c>
      <c r="K40">
        <v>3150</v>
      </c>
      <c r="L40">
        <v>68</v>
      </c>
      <c r="M40">
        <v>23</v>
      </c>
      <c r="N40">
        <v>84786</v>
      </c>
    </row>
    <row r="41" spans="1:14" x14ac:dyDescent="0.3">
      <c r="A41" s="2">
        <v>43891</v>
      </c>
      <c r="B41">
        <v>27</v>
      </c>
      <c r="C41">
        <v>24</v>
      </c>
      <c r="D41">
        <v>79932</v>
      </c>
      <c r="E41">
        <v>4</v>
      </c>
      <c r="F41">
        <v>130</v>
      </c>
      <c r="G41">
        <v>130</v>
      </c>
      <c r="H41">
        <v>978</v>
      </c>
      <c r="I41">
        <v>1694</v>
      </c>
      <c r="J41">
        <v>256</v>
      </c>
      <c r="K41">
        <v>3736</v>
      </c>
      <c r="L41">
        <v>74</v>
      </c>
      <c r="M41">
        <v>36</v>
      </c>
      <c r="N41">
        <v>87021</v>
      </c>
    </row>
    <row r="42" spans="1:14" x14ac:dyDescent="0.3">
      <c r="A42" s="2">
        <v>43892</v>
      </c>
      <c r="B42">
        <v>30</v>
      </c>
      <c r="C42">
        <v>27</v>
      </c>
      <c r="D42">
        <v>80136</v>
      </c>
      <c r="E42">
        <v>4</v>
      </c>
      <c r="F42">
        <v>191</v>
      </c>
      <c r="G42">
        <v>159</v>
      </c>
      <c r="H42">
        <v>1501</v>
      </c>
      <c r="I42">
        <v>2036</v>
      </c>
      <c r="J42">
        <v>274</v>
      </c>
      <c r="K42">
        <v>4335</v>
      </c>
      <c r="L42">
        <v>98</v>
      </c>
      <c r="M42">
        <v>40</v>
      </c>
      <c r="N42">
        <v>88831</v>
      </c>
    </row>
    <row r="43" spans="1:14" x14ac:dyDescent="0.3">
      <c r="A43" s="2">
        <v>43893</v>
      </c>
      <c r="B43">
        <v>39</v>
      </c>
      <c r="C43">
        <v>30</v>
      </c>
      <c r="D43">
        <v>80261</v>
      </c>
      <c r="E43">
        <v>6</v>
      </c>
      <c r="F43">
        <v>204</v>
      </c>
      <c r="G43">
        <v>196</v>
      </c>
      <c r="H43">
        <v>2336</v>
      </c>
      <c r="I43">
        <v>2502</v>
      </c>
      <c r="J43">
        <v>293</v>
      </c>
      <c r="K43">
        <v>5186</v>
      </c>
      <c r="L43">
        <v>118</v>
      </c>
      <c r="M43">
        <v>51</v>
      </c>
      <c r="N43">
        <v>91222</v>
      </c>
    </row>
    <row r="44" spans="1:14" x14ac:dyDescent="0.3">
      <c r="A44" s="2">
        <v>43894</v>
      </c>
      <c r="B44">
        <v>52</v>
      </c>
      <c r="C44">
        <v>33</v>
      </c>
      <c r="D44">
        <v>80386</v>
      </c>
      <c r="E44">
        <v>11</v>
      </c>
      <c r="F44">
        <v>288</v>
      </c>
      <c r="G44">
        <v>262</v>
      </c>
      <c r="H44">
        <v>2922</v>
      </c>
      <c r="I44">
        <v>3089</v>
      </c>
      <c r="J44">
        <v>331</v>
      </c>
      <c r="K44">
        <v>5621</v>
      </c>
      <c r="L44">
        <v>149</v>
      </c>
      <c r="M44">
        <v>86</v>
      </c>
      <c r="N44">
        <v>93230</v>
      </c>
    </row>
    <row r="45" spans="1:14" x14ac:dyDescent="0.3">
      <c r="A45" s="2">
        <v>43895</v>
      </c>
      <c r="B45">
        <v>55</v>
      </c>
      <c r="C45">
        <v>37</v>
      </c>
      <c r="D45">
        <v>80537</v>
      </c>
      <c r="E45">
        <v>11</v>
      </c>
      <c r="F45">
        <v>380</v>
      </c>
      <c r="G45">
        <v>482</v>
      </c>
      <c r="H45">
        <v>3513</v>
      </c>
      <c r="I45">
        <v>3858</v>
      </c>
      <c r="J45">
        <v>360</v>
      </c>
      <c r="K45">
        <v>6088</v>
      </c>
      <c r="L45">
        <v>217</v>
      </c>
      <c r="M45">
        <v>116</v>
      </c>
      <c r="N45">
        <v>95654</v>
      </c>
    </row>
    <row r="46" spans="1:14" x14ac:dyDescent="0.3">
      <c r="A46" s="2">
        <v>43896</v>
      </c>
      <c r="B46">
        <v>60</v>
      </c>
      <c r="C46">
        <v>49</v>
      </c>
      <c r="D46">
        <v>80690</v>
      </c>
      <c r="E46">
        <v>24</v>
      </c>
      <c r="F46">
        <v>656</v>
      </c>
      <c r="G46">
        <v>670</v>
      </c>
      <c r="H46">
        <v>4747</v>
      </c>
      <c r="I46">
        <v>4636</v>
      </c>
      <c r="J46">
        <v>420</v>
      </c>
      <c r="K46">
        <v>6593</v>
      </c>
      <c r="L46">
        <v>262</v>
      </c>
      <c r="M46">
        <v>164</v>
      </c>
      <c r="N46">
        <v>98971</v>
      </c>
    </row>
    <row r="47" spans="1:14" x14ac:dyDescent="0.3">
      <c r="A47" s="2">
        <v>43897</v>
      </c>
      <c r="B47">
        <v>63</v>
      </c>
      <c r="C47">
        <v>54</v>
      </c>
      <c r="D47">
        <v>80770</v>
      </c>
      <c r="E47">
        <v>24</v>
      </c>
      <c r="F47">
        <v>959</v>
      </c>
      <c r="G47">
        <v>799</v>
      </c>
      <c r="H47">
        <v>5823</v>
      </c>
      <c r="I47">
        <v>5883</v>
      </c>
      <c r="J47">
        <v>461</v>
      </c>
      <c r="K47">
        <v>7041</v>
      </c>
      <c r="L47">
        <v>402</v>
      </c>
      <c r="M47">
        <v>207</v>
      </c>
      <c r="N47">
        <v>102486</v>
      </c>
    </row>
    <row r="48" spans="1:14" x14ac:dyDescent="0.3">
      <c r="A48" s="2">
        <v>43898</v>
      </c>
      <c r="B48">
        <v>76</v>
      </c>
      <c r="C48">
        <v>64</v>
      </c>
      <c r="D48">
        <v>80823</v>
      </c>
      <c r="E48">
        <v>37</v>
      </c>
      <c r="F48">
        <v>1136</v>
      </c>
      <c r="G48">
        <v>1040</v>
      </c>
      <c r="H48">
        <v>6566</v>
      </c>
      <c r="I48">
        <v>7375</v>
      </c>
      <c r="J48">
        <v>502</v>
      </c>
      <c r="K48">
        <v>7314</v>
      </c>
      <c r="L48">
        <v>518</v>
      </c>
      <c r="M48">
        <v>274</v>
      </c>
      <c r="N48">
        <v>105725</v>
      </c>
    </row>
    <row r="49" spans="1:14" x14ac:dyDescent="0.3">
      <c r="A49" s="2">
        <v>43899</v>
      </c>
      <c r="B49">
        <v>91</v>
      </c>
      <c r="C49">
        <v>77</v>
      </c>
      <c r="D49">
        <v>80860</v>
      </c>
      <c r="E49">
        <v>92</v>
      </c>
      <c r="F49">
        <v>1219</v>
      </c>
      <c r="G49">
        <v>1176</v>
      </c>
      <c r="H49">
        <v>7161</v>
      </c>
      <c r="I49">
        <v>9172</v>
      </c>
      <c r="J49">
        <v>511</v>
      </c>
      <c r="K49">
        <v>7478</v>
      </c>
      <c r="L49">
        <v>583</v>
      </c>
      <c r="M49">
        <v>322</v>
      </c>
      <c r="N49">
        <v>108742</v>
      </c>
    </row>
    <row r="50" spans="1:14" x14ac:dyDescent="0.3">
      <c r="A50" s="2">
        <v>43900</v>
      </c>
      <c r="B50">
        <v>107</v>
      </c>
      <c r="C50">
        <v>79</v>
      </c>
      <c r="D50">
        <v>80887</v>
      </c>
      <c r="E50">
        <v>264</v>
      </c>
      <c r="F50">
        <v>1794</v>
      </c>
      <c r="G50">
        <v>1457</v>
      </c>
      <c r="H50">
        <v>8042</v>
      </c>
      <c r="I50">
        <v>10149</v>
      </c>
      <c r="J50">
        <v>581</v>
      </c>
      <c r="K50">
        <v>7513</v>
      </c>
      <c r="L50">
        <v>959</v>
      </c>
      <c r="M50">
        <v>384</v>
      </c>
      <c r="N50">
        <v>112216</v>
      </c>
    </row>
    <row r="51" spans="1:14" x14ac:dyDescent="0.3">
      <c r="A51" s="2">
        <v>43901</v>
      </c>
      <c r="B51">
        <v>128</v>
      </c>
      <c r="C51">
        <v>108</v>
      </c>
      <c r="D51">
        <v>80921</v>
      </c>
      <c r="E51">
        <v>444</v>
      </c>
      <c r="F51">
        <v>2293</v>
      </c>
      <c r="G51">
        <v>1908</v>
      </c>
      <c r="H51">
        <v>9000</v>
      </c>
      <c r="I51">
        <v>12462</v>
      </c>
      <c r="J51">
        <v>639</v>
      </c>
      <c r="K51">
        <v>7755</v>
      </c>
      <c r="L51">
        <v>1281</v>
      </c>
      <c r="M51">
        <v>459</v>
      </c>
      <c r="N51">
        <v>117398</v>
      </c>
    </row>
    <row r="52" spans="1:14" x14ac:dyDescent="0.3">
      <c r="A52" s="2">
        <v>43902</v>
      </c>
      <c r="B52">
        <v>128</v>
      </c>
      <c r="C52">
        <v>117</v>
      </c>
      <c r="D52">
        <v>80932</v>
      </c>
      <c r="E52">
        <v>617</v>
      </c>
      <c r="F52">
        <v>2293</v>
      </c>
      <c r="G52">
        <v>2078</v>
      </c>
      <c r="H52">
        <v>10075</v>
      </c>
      <c r="I52">
        <v>12462</v>
      </c>
      <c r="J52">
        <v>639</v>
      </c>
      <c r="K52">
        <v>7869</v>
      </c>
      <c r="L52">
        <v>1663</v>
      </c>
      <c r="M52">
        <v>459</v>
      </c>
      <c r="N52">
        <v>119332</v>
      </c>
    </row>
    <row r="53" spans="1:14" x14ac:dyDescent="0.3">
      <c r="A53" s="2">
        <v>43903</v>
      </c>
      <c r="B53">
        <v>200</v>
      </c>
      <c r="C53">
        <v>193</v>
      </c>
      <c r="D53">
        <v>80945</v>
      </c>
      <c r="E53">
        <v>804</v>
      </c>
      <c r="F53">
        <v>3681</v>
      </c>
      <c r="G53">
        <v>3675</v>
      </c>
      <c r="H53">
        <v>11364</v>
      </c>
      <c r="I53">
        <v>17660</v>
      </c>
      <c r="J53">
        <v>701</v>
      </c>
      <c r="K53">
        <v>7979</v>
      </c>
      <c r="L53">
        <v>2179</v>
      </c>
      <c r="M53">
        <v>802</v>
      </c>
      <c r="N53">
        <v>130183</v>
      </c>
    </row>
    <row r="54" spans="1:14" x14ac:dyDescent="0.3">
      <c r="A54" s="2">
        <v>43904</v>
      </c>
      <c r="B54">
        <v>250</v>
      </c>
      <c r="C54">
        <v>198</v>
      </c>
      <c r="D54">
        <v>80977</v>
      </c>
      <c r="E54">
        <v>836</v>
      </c>
      <c r="F54">
        <v>4496</v>
      </c>
      <c r="G54">
        <v>4585</v>
      </c>
      <c r="H54">
        <v>12729</v>
      </c>
      <c r="I54">
        <v>21157</v>
      </c>
      <c r="J54">
        <v>773</v>
      </c>
      <c r="K54">
        <v>8086</v>
      </c>
      <c r="L54">
        <v>2727</v>
      </c>
      <c r="M54">
        <v>1144</v>
      </c>
      <c r="N54">
        <v>137958</v>
      </c>
    </row>
    <row r="55" spans="1:14" x14ac:dyDescent="0.3">
      <c r="A55" s="2">
        <v>43905</v>
      </c>
      <c r="B55">
        <v>297</v>
      </c>
      <c r="C55">
        <v>252</v>
      </c>
      <c r="D55">
        <v>81003</v>
      </c>
      <c r="E55">
        <v>875</v>
      </c>
      <c r="F55">
        <v>4532</v>
      </c>
      <c r="G55">
        <v>5795</v>
      </c>
      <c r="H55">
        <v>13938</v>
      </c>
      <c r="I55">
        <v>24747</v>
      </c>
      <c r="J55">
        <v>839</v>
      </c>
      <c r="K55">
        <v>8162</v>
      </c>
      <c r="L55">
        <v>3499</v>
      </c>
      <c r="M55">
        <v>1145</v>
      </c>
      <c r="N55">
        <v>145084</v>
      </c>
    </row>
    <row r="56" spans="1:14" x14ac:dyDescent="0.3">
      <c r="A56" s="2">
        <v>43906</v>
      </c>
      <c r="B56">
        <v>377</v>
      </c>
      <c r="C56">
        <v>415</v>
      </c>
      <c r="D56">
        <v>81033</v>
      </c>
      <c r="E56">
        <v>933</v>
      </c>
      <c r="F56">
        <v>6683</v>
      </c>
      <c r="G56">
        <v>7272</v>
      </c>
      <c r="H56">
        <v>14991</v>
      </c>
      <c r="I56">
        <v>27980</v>
      </c>
      <c r="J56">
        <v>839</v>
      </c>
      <c r="K56">
        <v>8236</v>
      </c>
      <c r="L56">
        <v>4632</v>
      </c>
      <c r="M56">
        <v>1551</v>
      </c>
      <c r="N56">
        <v>154942</v>
      </c>
    </row>
    <row r="57" spans="1:14" x14ac:dyDescent="0.3">
      <c r="A57" s="2">
        <v>43907</v>
      </c>
      <c r="B57">
        <v>452</v>
      </c>
      <c r="C57">
        <v>478</v>
      </c>
      <c r="D57">
        <v>81058</v>
      </c>
      <c r="E57">
        <v>1025</v>
      </c>
      <c r="F57">
        <v>7715</v>
      </c>
      <c r="G57">
        <v>9257</v>
      </c>
      <c r="H57">
        <v>16169</v>
      </c>
      <c r="I57">
        <v>31506</v>
      </c>
      <c r="J57">
        <v>878</v>
      </c>
      <c r="K57">
        <v>8320</v>
      </c>
      <c r="L57">
        <v>6421</v>
      </c>
      <c r="M57">
        <v>1960</v>
      </c>
      <c r="N57">
        <v>165239</v>
      </c>
    </row>
    <row r="58" spans="1:14" x14ac:dyDescent="0.3">
      <c r="A58" s="2">
        <v>43908</v>
      </c>
      <c r="B58">
        <v>568</v>
      </c>
      <c r="C58">
        <v>657</v>
      </c>
      <c r="D58">
        <v>81102</v>
      </c>
      <c r="E58">
        <v>1116</v>
      </c>
      <c r="F58">
        <v>9124</v>
      </c>
      <c r="G58">
        <v>12327</v>
      </c>
      <c r="H58">
        <v>17361</v>
      </c>
      <c r="I58">
        <v>35713</v>
      </c>
      <c r="J58">
        <v>889</v>
      </c>
      <c r="K58">
        <v>8413</v>
      </c>
      <c r="L58">
        <v>7783</v>
      </c>
      <c r="M58">
        <v>2642</v>
      </c>
      <c r="N58">
        <v>177695</v>
      </c>
    </row>
    <row r="59" spans="1:14" x14ac:dyDescent="0.3">
      <c r="A59" s="2">
        <v>43909</v>
      </c>
      <c r="B59">
        <v>681</v>
      </c>
      <c r="C59">
        <v>800</v>
      </c>
      <c r="D59">
        <v>81156</v>
      </c>
      <c r="E59">
        <v>1225</v>
      </c>
      <c r="F59">
        <v>10970</v>
      </c>
      <c r="G59">
        <v>15320</v>
      </c>
      <c r="H59">
        <v>18407</v>
      </c>
      <c r="I59">
        <v>41035</v>
      </c>
      <c r="J59">
        <v>924</v>
      </c>
      <c r="K59">
        <v>8565</v>
      </c>
      <c r="L59">
        <v>13677</v>
      </c>
      <c r="M59">
        <v>2716</v>
      </c>
      <c r="N59">
        <v>195476</v>
      </c>
    </row>
    <row r="60" spans="1:14" x14ac:dyDescent="0.3">
      <c r="A60" s="2">
        <v>43910</v>
      </c>
      <c r="B60">
        <v>791</v>
      </c>
      <c r="C60">
        <v>943</v>
      </c>
      <c r="D60">
        <v>81250</v>
      </c>
      <c r="E60">
        <v>1337</v>
      </c>
      <c r="F60">
        <v>12758</v>
      </c>
      <c r="G60">
        <v>19848</v>
      </c>
      <c r="H60">
        <v>19644</v>
      </c>
      <c r="I60">
        <v>47021</v>
      </c>
      <c r="J60">
        <v>963</v>
      </c>
      <c r="K60">
        <v>8652</v>
      </c>
      <c r="L60">
        <v>19100</v>
      </c>
      <c r="M60">
        <v>4014</v>
      </c>
      <c r="N60">
        <v>216321</v>
      </c>
    </row>
    <row r="61" spans="1:14" x14ac:dyDescent="0.3">
      <c r="A61" s="2">
        <v>43911</v>
      </c>
      <c r="B61">
        <v>1071</v>
      </c>
      <c r="C61">
        <v>1277</v>
      </c>
      <c r="D61">
        <v>81305</v>
      </c>
      <c r="E61">
        <v>1420</v>
      </c>
      <c r="F61">
        <v>14463</v>
      </c>
      <c r="G61">
        <v>22213</v>
      </c>
      <c r="H61">
        <v>20610</v>
      </c>
      <c r="I61">
        <v>53578</v>
      </c>
      <c r="J61">
        <v>1007</v>
      </c>
      <c r="K61">
        <v>8799</v>
      </c>
      <c r="L61">
        <v>25489</v>
      </c>
      <c r="M61">
        <v>5067</v>
      </c>
      <c r="N61">
        <v>236299</v>
      </c>
    </row>
    <row r="62" spans="1:14" x14ac:dyDescent="0.3">
      <c r="A62" s="2">
        <v>43912</v>
      </c>
      <c r="B62">
        <v>1549</v>
      </c>
      <c r="C62">
        <v>1469</v>
      </c>
      <c r="D62">
        <v>81435</v>
      </c>
      <c r="E62">
        <v>1514</v>
      </c>
      <c r="F62">
        <v>16243</v>
      </c>
      <c r="G62">
        <v>24873</v>
      </c>
      <c r="H62">
        <v>21638</v>
      </c>
      <c r="I62">
        <v>59138</v>
      </c>
      <c r="J62">
        <v>1101</v>
      </c>
      <c r="K62">
        <v>8961</v>
      </c>
      <c r="L62">
        <v>33276</v>
      </c>
      <c r="M62">
        <v>5745</v>
      </c>
      <c r="N62">
        <v>256942</v>
      </c>
    </row>
    <row r="63" spans="1:14" x14ac:dyDescent="0.3">
      <c r="A63" s="2">
        <v>43913</v>
      </c>
      <c r="B63">
        <v>1682</v>
      </c>
      <c r="C63">
        <v>2088</v>
      </c>
      <c r="D63">
        <v>81498</v>
      </c>
      <c r="E63">
        <v>1572</v>
      </c>
      <c r="F63">
        <v>20123</v>
      </c>
      <c r="G63">
        <v>29056</v>
      </c>
      <c r="H63">
        <v>23049</v>
      </c>
      <c r="I63">
        <v>63927</v>
      </c>
      <c r="J63">
        <v>1128</v>
      </c>
      <c r="K63">
        <v>8961</v>
      </c>
      <c r="L63">
        <v>43847</v>
      </c>
      <c r="M63">
        <v>6726</v>
      </c>
      <c r="N63">
        <v>283657</v>
      </c>
    </row>
    <row r="64" spans="1:14" x14ac:dyDescent="0.3">
      <c r="A64" s="2">
        <v>43914</v>
      </c>
      <c r="B64">
        <v>2044</v>
      </c>
      <c r="C64">
        <v>2790</v>
      </c>
      <c r="D64">
        <v>81591</v>
      </c>
      <c r="E64">
        <v>1718</v>
      </c>
      <c r="F64">
        <v>22622</v>
      </c>
      <c r="G64">
        <v>32986</v>
      </c>
      <c r="H64">
        <v>24811</v>
      </c>
      <c r="I64">
        <v>69176</v>
      </c>
      <c r="J64">
        <v>1193</v>
      </c>
      <c r="K64">
        <v>9037</v>
      </c>
      <c r="L64">
        <v>53740</v>
      </c>
      <c r="M64">
        <v>8164</v>
      </c>
      <c r="N64">
        <v>309872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873EA-60D8-4415-B467-CB92E6A915B4}">
  <sheetPr codeName="Sheet4"/>
  <dimension ref="A1:BL20"/>
  <sheetViews>
    <sheetView tabSelected="1" workbookViewId="0">
      <pane xSplit="1" topLeftCell="B1" activePane="topRight" state="frozen"/>
      <selection pane="topRight" activeCell="P17" sqref="P17"/>
    </sheetView>
  </sheetViews>
  <sheetFormatPr defaultRowHeight="14.4" x14ac:dyDescent="0.3"/>
  <cols>
    <col min="1" max="1" width="13.5546875" bestFit="1" customWidth="1"/>
    <col min="2" max="11" width="10.109375" bestFit="1" customWidth="1"/>
    <col min="12" max="20" width="9.109375" bestFit="1" customWidth="1"/>
    <col min="21" max="40" width="10.109375" bestFit="1" customWidth="1"/>
    <col min="41" max="49" width="9.109375" bestFit="1" customWidth="1"/>
    <col min="50" max="64" width="10.109375" bestFit="1" customWidth="1"/>
    <col min="65" max="74" width="5.21875" bestFit="1" customWidth="1"/>
    <col min="75" max="117" width="6" bestFit="1" customWidth="1"/>
    <col min="118" max="121" width="6" customWidth="1"/>
  </cols>
  <sheetData>
    <row r="1" spans="1:64" x14ac:dyDescent="0.3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192</v>
      </c>
      <c r="AQ1" t="s">
        <v>193</v>
      </c>
      <c r="AR1" t="s">
        <v>194</v>
      </c>
      <c r="AS1" t="s">
        <v>195</v>
      </c>
      <c r="AT1" t="s">
        <v>196</v>
      </c>
      <c r="AU1" t="s">
        <v>197</v>
      </c>
      <c r="AV1" t="s">
        <v>198</v>
      </c>
      <c r="AW1" t="s">
        <v>199</v>
      </c>
      <c r="AX1" t="s">
        <v>200</v>
      </c>
      <c r="AY1" t="s">
        <v>201</v>
      </c>
      <c r="AZ1" t="s">
        <v>277</v>
      </c>
      <c r="BA1" t="s">
        <v>278</v>
      </c>
      <c r="BB1" t="s">
        <v>279</v>
      </c>
      <c r="BC1" t="s">
        <v>307</v>
      </c>
      <c r="BD1" t="s">
        <v>315</v>
      </c>
      <c r="BE1" t="s">
        <v>410</v>
      </c>
      <c r="BF1" t="s">
        <v>413</v>
      </c>
      <c r="BG1" t="s">
        <v>649</v>
      </c>
      <c r="BH1" t="s">
        <v>652</v>
      </c>
      <c r="BI1" t="s">
        <v>654</v>
      </c>
      <c r="BJ1" t="s">
        <v>656</v>
      </c>
      <c r="BK1" t="s">
        <v>667</v>
      </c>
      <c r="BL1" t="s">
        <v>669</v>
      </c>
    </row>
    <row r="2" spans="1:64" x14ac:dyDescent="0.3">
      <c r="A2" s="1" t="s">
        <v>42</v>
      </c>
      <c r="B2">
        <v>0</v>
      </c>
      <c r="C2">
        <v>0</v>
      </c>
      <c r="D2">
        <v>0</v>
      </c>
      <c r="E2">
        <v>0</v>
      </c>
      <c r="F2">
        <v>4</v>
      </c>
      <c r="G2">
        <v>5</v>
      </c>
      <c r="H2">
        <v>5</v>
      </c>
      <c r="I2">
        <v>6</v>
      </c>
      <c r="J2">
        <v>9</v>
      </c>
      <c r="K2">
        <v>9</v>
      </c>
      <c r="L2">
        <v>12</v>
      </c>
      <c r="M2">
        <v>12</v>
      </c>
      <c r="N2">
        <v>12</v>
      </c>
      <c r="O2">
        <v>13</v>
      </c>
      <c r="P2">
        <v>13</v>
      </c>
      <c r="Q2">
        <v>14</v>
      </c>
      <c r="R2">
        <v>15</v>
      </c>
      <c r="S2">
        <v>15</v>
      </c>
      <c r="T2">
        <v>15</v>
      </c>
      <c r="U2">
        <v>15</v>
      </c>
      <c r="V2">
        <v>15</v>
      </c>
      <c r="W2">
        <v>15</v>
      </c>
      <c r="X2">
        <v>15</v>
      </c>
      <c r="Y2">
        <v>15</v>
      </c>
      <c r="Z2">
        <v>15</v>
      </c>
      <c r="AA2">
        <v>15</v>
      </c>
      <c r="AB2">
        <v>15</v>
      </c>
      <c r="AC2">
        <v>15</v>
      </c>
      <c r="AD2">
        <v>15</v>
      </c>
      <c r="AE2">
        <v>15</v>
      </c>
      <c r="AF2">
        <v>15</v>
      </c>
      <c r="AG2">
        <v>15</v>
      </c>
      <c r="AH2">
        <v>15</v>
      </c>
      <c r="AI2">
        <v>15</v>
      </c>
      <c r="AJ2">
        <v>15</v>
      </c>
      <c r="AK2">
        <v>15</v>
      </c>
      <c r="AL2">
        <v>15</v>
      </c>
      <c r="AM2">
        <v>15</v>
      </c>
      <c r="AN2">
        <v>25</v>
      </c>
      <c r="AO2">
        <v>27</v>
      </c>
      <c r="AP2">
        <v>30</v>
      </c>
      <c r="AQ2">
        <v>39</v>
      </c>
      <c r="AR2">
        <v>52</v>
      </c>
      <c r="AS2">
        <v>55</v>
      </c>
      <c r="AT2">
        <v>60</v>
      </c>
      <c r="AU2">
        <v>63</v>
      </c>
      <c r="AV2">
        <v>76</v>
      </c>
      <c r="AW2">
        <v>91</v>
      </c>
      <c r="AX2">
        <v>107</v>
      </c>
      <c r="AY2">
        <v>128</v>
      </c>
      <c r="AZ2">
        <v>128</v>
      </c>
      <c r="BA2">
        <v>200</v>
      </c>
      <c r="BB2">
        <v>250</v>
      </c>
      <c r="BC2">
        <v>297</v>
      </c>
      <c r="BD2">
        <v>377</v>
      </c>
      <c r="BE2">
        <v>452</v>
      </c>
      <c r="BF2">
        <v>568</v>
      </c>
      <c r="BG2">
        <v>681</v>
      </c>
      <c r="BH2">
        <v>791</v>
      </c>
      <c r="BI2">
        <v>1071</v>
      </c>
      <c r="BJ2">
        <v>1549</v>
      </c>
      <c r="BK2">
        <v>1682</v>
      </c>
      <c r="BL2">
        <v>2044</v>
      </c>
    </row>
    <row r="3" spans="1:64" x14ac:dyDescent="0.3">
      <c r="A3" s="1" t="s">
        <v>43</v>
      </c>
      <c r="B3">
        <v>0</v>
      </c>
      <c r="C3">
        <v>0</v>
      </c>
      <c r="D3">
        <v>0</v>
      </c>
      <c r="E3">
        <v>0</v>
      </c>
      <c r="F3">
        <v>1</v>
      </c>
      <c r="G3">
        <v>1</v>
      </c>
      <c r="H3">
        <v>2</v>
      </c>
      <c r="I3">
        <v>2</v>
      </c>
      <c r="J3">
        <v>2</v>
      </c>
      <c r="K3">
        <v>4</v>
      </c>
      <c r="L3">
        <v>4</v>
      </c>
      <c r="M3">
        <v>4</v>
      </c>
      <c r="N3">
        <v>4</v>
      </c>
      <c r="O3">
        <v>4</v>
      </c>
      <c r="P3">
        <v>5</v>
      </c>
      <c r="Q3">
        <v>5</v>
      </c>
      <c r="R3">
        <v>7</v>
      </c>
      <c r="S3">
        <v>7</v>
      </c>
      <c r="T3">
        <v>7</v>
      </c>
      <c r="U3">
        <v>7</v>
      </c>
      <c r="V3">
        <v>7</v>
      </c>
      <c r="W3">
        <v>7</v>
      </c>
      <c r="X3">
        <v>7</v>
      </c>
      <c r="Y3">
        <v>7</v>
      </c>
      <c r="Z3">
        <v>7</v>
      </c>
      <c r="AA3">
        <v>7</v>
      </c>
      <c r="AB3">
        <v>8</v>
      </c>
      <c r="AC3">
        <v>8</v>
      </c>
      <c r="AD3">
        <v>8</v>
      </c>
      <c r="AE3">
        <v>8</v>
      </c>
      <c r="AF3">
        <v>9</v>
      </c>
      <c r="AG3">
        <v>9</v>
      </c>
      <c r="AH3">
        <v>9</v>
      </c>
      <c r="AI3">
        <v>10</v>
      </c>
      <c r="AJ3">
        <v>11</v>
      </c>
      <c r="AK3">
        <v>11</v>
      </c>
      <c r="AL3">
        <v>13</v>
      </c>
      <c r="AM3">
        <v>14</v>
      </c>
      <c r="AN3">
        <v>20</v>
      </c>
      <c r="AO3">
        <v>24</v>
      </c>
      <c r="AP3">
        <v>27</v>
      </c>
      <c r="AQ3">
        <v>30</v>
      </c>
      <c r="AR3">
        <v>33</v>
      </c>
      <c r="AS3">
        <v>37</v>
      </c>
      <c r="AT3">
        <v>49</v>
      </c>
      <c r="AU3">
        <v>54</v>
      </c>
      <c r="AV3">
        <v>64</v>
      </c>
      <c r="AW3">
        <v>77</v>
      </c>
      <c r="AX3">
        <v>79</v>
      </c>
      <c r="AY3">
        <v>108</v>
      </c>
      <c r="AZ3">
        <v>117</v>
      </c>
      <c r="BA3">
        <v>193</v>
      </c>
      <c r="BB3">
        <v>198</v>
      </c>
      <c r="BC3">
        <v>252</v>
      </c>
      <c r="BD3">
        <v>415</v>
      </c>
      <c r="BE3">
        <v>478</v>
      </c>
      <c r="BF3">
        <v>657</v>
      </c>
      <c r="BG3">
        <v>800</v>
      </c>
      <c r="BH3">
        <v>943</v>
      </c>
      <c r="BI3">
        <v>1277</v>
      </c>
      <c r="BJ3">
        <v>1469</v>
      </c>
      <c r="BK3">
        <v>2088</v>
      </c>
      <c r="BL3">
        <v>2790</v>
      </c>
    </row>
    <row r="4" spans="1:64" x14ac:dyDescent="0.3">
      <c r="A4" s="1" t="s">
        <v>202</v>
      </c>
      <c r="B4">
        <v>548</v>
      </c>
      <c r="C4">
        <v>643</v>
      </c>
      <c r="D4">
        <v>920</v>
      </c>
      <c r="E4">
        <v>1406</v>
      </c>
      <c r="F4">
        <v>2075</v>
      </c>
      <c r="G4">
        <v>2877</v>
      </c>
      <c r="H4">
        <v>5509</v>
      </c>
      <c r="I4">
        <v>6087</v>
      </c>
      <c r="J4">
        <v>8141</v>
      </c>
      <c r="K4">
        <v>9802</v>
      </c>
      <c r="L4">
        <v>11891</v>
      </c>
      <c r="M4">
        <v>16630</v>
      </c>
      <c r="N4">
        <v>19716</v>
      </c>
      <c r="O4">
        <v>23707</v>
      </c>
      <c r="P4">
        <v>27440</v>
      </c>
      <c r="Q4">
        <v>30587</v>
      </c>
      <c r="R4">
        <v>34110</v>
      </c>
      <c r="S4">
        <v>36814</v>
      </c>
      <c r="T4">
        <v>39829</v>
      </c>
      <c r="U4">
        <v>42354</v>
      </c>
      <c r="V4">
        <v>44386</v>
      </c>
      <c r="W4">
        <v>44759</v>
      </c>
      <c r="X4">
        <v>59895</v>
      </c>
      <c r="Y4">
        <v>66358</v>
      </c>
      <c r="Z4">
        <v>68413</v>
      </c>
      <c r="AA4">
        <v>70513</v>
      </c>
      <c r="AB4">
        <v>72434</v>
      </c>
      <c r="AC4">
        <v>74211</v>
      </c>
      <c r="AD4">
        <v>74619</v>
      </c>
      <c r="AE4">
        <v>75077</v>
      </c>
      <c r="AF4">
        <v>75550</v>
      </c>
      <c r="AG4">
        <v>77001</v>
      </c>
      <c r="AH4">
        <v>77022</v>
      </c>
      <c r="AI4">
        <v>77241</v>
      </c>
      <c r="AJ4">
        <v>77754</v>
      </c>
      <c r="AK4">
        <v>78166</v>
      </c>
      <c r="AL4">
        <v>78600</v>
      </c>
      <c r="AM4">
        <v>78928</v>
      </c>
      <c r="AN4">
        <v>79356</v>
      </c>
      <c r="AO4">
        <v>79932</v>
      </c>
      <c r="AP4">
        <v>80136</v>
      </c>
      <c r="AQ4">
        <v>80261</v>
      </c>
      <c r="AR4">
        <v>80386</v>
      </c>
      <c r="AS4">
        <v>80537</v>
      </c>
      <c r="AT4">
        <v>80690</v>
      </c>
      <c r="AU4">
        <v>80770</v>
      </c>
      <c r="AV4">
        <v>80823</v>
      </c>
      <c r="AW4">
        <v>80860</v>
      </c>
      <c r="AX4">
        <v>80887</v>
      </c>
      <c r="AY4">
        <v>80921</v>
      </c>
      <c r="AZ4">
        <v>80932</v>
      </c>
      <c r="BA4">
        <v>80945</v>
      </c>
      <c r="BB4">
        <v>80977</v>
      </c>
      <c r="BC4">
        <v>81003</v>
      </c>
      <c r="BD4">
        <v>81033</v>
      </c>
      <c r="BE4">
        <v>81058</v>
      </c>
      <c r="BF4">
        <v>81102</v>
      </c>
      <c r="BG4">
        <v>81156</v>
      </c>
      <c r="BH4">
        <v>81250</v>
      </c>
      <c r="BI4">
        <v>81305</v>
      </c>
      <c r="BJ4">
        <v>81435</v>
      </c>
      <c r="BK4">
        <v>81498</v>
      </c>
      <c r="BL4">
        <v>81591</v>
      </c>
    </row>
    <row r="5" spans="1:64" x14ac:dyDescent="0.3">
      <c r="A5" s="1" t="s">
        <v>79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1</v>
      </c>
      <c r="AM5">
        <v>1</v>
      </c>
      <c r="AN5">
        <v>3</v>
      </c>
      <c r="AO5">
        <v>4</v>
      </c>
      <c r="AP5">
        <v>4</v>
      </c>
      <c r="AQ5">
        <v>6</v>
      </c>
      <c r="AR5">
        <v>11</v>
      </c>
      <c r="AS5">
        <v>11</v>
      </c>
      <c r="AT5">
        <v>24</v>
      </c>
      <c r="AU5">
        <v>24</v>
      </c>
      <c r="AV5">
        <v>37</v>
      </c>
      <c r="AW5">
        <v>92</v>
      </c>
      <c r="AX5">
        <v>264</v>
      </c>
      <c r="AY5">
        <v>444</v>
      </c>
      <c r="AZ5">
        <v>617</v>
      </c>
      <c r="BA5">
        <v>804</v>
      </c>
      <c r="BB5">
        <v>836</v>
      </c>
      <c r="BC5">
        <v>875</v>
      </c>
      <c r="BD5">
        <v>933</v>
      </c>
      <c r="BE5">
        <v>1025</v>
      </c>
      <c r="BF5">
        <v>1116</v>
      </c>
      <c r="BG5">
        <v>1225</v>
      </c>
      <c r="BH5">
        <v>1337</v>
      </c>
      <c r="BI5">
        <v>1420</v>
      </c>
      <c r="BJ5">
        <v>1514</v>
      </c>
      <c r="BK5">
        <v>1572</v>
      </c>
      <c r="BL5">
        <v>1718</v>
      </c>
    </row>
    <row r="6" spans="1:64" x14ac:dyDescent="0.3">
      <c r="A6" s="1" t="s">
        <v>36</v>
      </c>
      <c r="B6">
        <v>0</v>
      </c>
      <c r="C6">
        <v>0</v>
      </c>
      <c r="D6">
        <v>2</v>
      </c>
      <c r="E6">
        <v>3</v>
      </c>
      <c r="F6">
        <v>3</v>
      </c>
      <c r="G6">
        <v>3</v>
      </c>
      <c r="H6">
        <v>4</v>
      </c>
      <c r="I6">
        <v>5</v>
      </c>
      <c r="J6">
        <v>5</v>
      </c>
      <c r="K6">
        <v>5</v>
      </c>
      <c r="L6">
        <v>6</v>
      </c>
      <c r="M6">
        <v>6</v>
      </c>
      <c r="N6">
        <v>6</v>
      </c>
      <c r="O6">
        <v>6</v>
      </c>
      <c r="P6">
        <v>6</v>
      </c>
      <c r="Q6">
        <v>6</v>
      </c>
      <c r="R6">
        <v>6</v>
      </c>
      <c r="S6">
        <v>11</v>
      </c>
      <c r="T6">
        <v>11</v>
      </c>
      <c r="U6">
        <v>11</v>
      </c>
      <c r="V6">
        <v>11</v>
      </c>
      <c r="W6">
        <v>11</v>
      </c>
      <c r="X6">
        <v>11</v>
      </c>
      <c r="Y6">
        <v>11</v>
      </c>
      <c r="Z6">
        <v>12</v>
      </c>
      <c r="AA6">
        <v>12</v>
      </c>
      <c r="AB6">
        <v>12</v>
      </c>
      <c r="AC6">
        <v>12</v>
      </c>
      <c r="AD6">
        <v>12</v>
      </c>
      <c r="AE6">
        <v>12</v>
      </c>
      <c r="AF6">
        <v>12</v>
      </c>
      <c r="AG6">
        <v>12</v>
      </c>
      <c r="AH6">
        <v>12</v>
      </c>
      <c r="AI6">
        <v>12</v>
      </c>
      <c r="AJ6">
        <v>14</v>
      </c>
      <c r="AK6">
        <v>18</v>
      </c>
      <c r="AL6">
        <v>38</v>
      </c>
      <c r="AM6">
        <v>57</v>
      </c>
      <c r="AN6">
        <v>100</v>
      </c>
      <c r="AO6">
        <v>130</v>
      </c>
      <c r="AP6">
        <v>191</v>
      </c>
      <c r="AQ6">
        <v>204</v>
      </c>
      <c r="AR6">
        <v>288</v>
      </c>
      <c r="AS6">
        <v>380</v>
      </c>
      <c r="AT6">
        <v>656</v>
      </c>
      <c r="AU6">
        <v>959</v>
      </c>
      <c r="AV6">
        <v>1136</v>
      </c>
      <c r="AW6">
        <v>1219</v>
      </c>
      <c r="AX6">
        <v>1794</v>
      </c>
      <c r="AY6">
        <v>2293</v>
      </c>
      <c r="AZ6">
        <v>2293</v>
      </c>
      <c r="BA6">
        <v>3681</v>
      </c>
      <c r="BB6">
        <v>4496</v>
      </c>
      <c r="BC6">
        <v>4532</v>
      </c>
      <c r="BD6">
        <v>6683</v>
      </c>
      <c r="BE6">
        <v>7715</v>
      </c>
      <c r="BF6">
        <v>9124</v>
      </c>
      <c r="BG6">
        <v>10970</v>
      </c>
      <c r="BH6">
        <v>12758</v>
      </c>
      <c r="BI6">
        <v>14463</v>
      </c>
      <c r="BJ6">
        <v>16243</v>
      </c>
      <c r="BK6">
        <v>20123</v>
      </c>
      <c r="BL6">
        <v>22622</v>
      </c>
    </row>
    <row r="7" spans="1:64" hidden="1" x14ac:dyDescent="0.3">
      <c r="A7" s="1" t="s">
        <v>46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4</v>
      </c>
      <c r="I7">
        <v>4</v>
      </c>
      <c r="J7">
        <v>4</v>
      </c>
      <c r="K7">
        <v>5</v>
      </c>
      <c r="L7">
        <v>8</v>
      </c>
      <c r="M7">
        <v>10</v>
      </c>
      <c r="N7">
        <v>12</v>
      </c>
      <c r="O7">
        <v>12</v>
      </c>
      <c r="P7">
        <v>12</v>
      </c>
      <c r="Q7">
        <v>12</v>
      </c>
      <c r="R7">
        <v>13</v>
      </c>
      <c r="S7">
        <v>13</v>
      </c>
      <c r="T7">
        <v>14</v>
      </c>
      <c r="U7">
        <v>14</v>
      </c>
      <c r="V7">
        <v>16</v>
      </c>
      <c r="W7">
        <v>16</v>
      </c>
      <c r="X7">
        <v>16</v>
      </c>
      <c r="Y7">
        <v>16</v>
      </c>
      <c r="Z7">
        <v>16</v>
      </c>
      <c r="AA7">
        <v>16</v>
      </c>
      <c r="AB7">
        <v>16</v>
      </c>
      <c r="AC7">
        <v>16</v>
      </c>
      <c r="AD7">
        <v>16</v>
      </c>
      <c r="AE7">
        <v>16</v>
      </c>
      <c r="AF7">
        <v>16</v>
      </c>
      <c r="AG7">
        <v>16</v>
      </c>
      <c r="AH7">
        <v>16</v>
      </c>
      <c r="AI7">
        <v>16</v>
      </c>
      <c r="AJ7">
        <v>17</v>
      </c>
      <c r="AK7">
        <v>27</v>
      </c>
      <c r="AL7">
        <v>46</v>
      </c>
      <c r="AM7">
        <v>48</v>
      </c>
      <c r="AN7">
        <v>79</v>
      </c>
      <c r="AO7">
        <v>130</v>
      </c>
      <c r="AP7">
        <v>159</v>
      </c>
      <c r="AQ7">
        <v>196</v>
      </c>
      <c r="AR7">
        <v>262</v>
      </c>
      <c r="AS7">
        <v>482</v>
      </c>
      <c r="AT7">
        <v>670</v>
      </c>
      <c r="AU7">
        <v>799</v>
      </c>
      <c r="AV7">
        <v>1040</v>
      </c>
      <c r="AW7">
        <v>1176</v>
      </c>
      <c r="AX7">
        <v>1457</v>
      </c>
      <c r="AY7">
        <v>1908</v>
      </c>
      <c r="AZ7">
        <v>2078</v>
      </c>
      <c r="BA7">
        <v>3675</v>
      </c>
      <c r="BB7">
        <v>4585</v>
      </c>
      <c r="BC7">
        <v>5795</v>
      </c>
      <c r="BD7">
        <v>7272</v>
      </c>
      <c r="BE7">
        <v>9257</v>
      </c>
      <c r="BF7">
        <v>12327</v>
      </c>
      <c r="BG7">
        <v>15320</v>
      </c>
      <c r="BH7">
        <v>19848</v>
      </c>
      <c r="BI7">
        <v>22213</v>
      </c>
      <c r="BJ7">
        <v>24873</v>
      </c>
      <c r="BK7">
        <v>29056</v>
      </c>
      <c r="BL7">
        <v>32986</v>
      </c>
    </row>
    <row r="8" spans="1:64" hidden="1" x14ac:dyDescent="0.3">
      <c r="A8" s="1" t="s">
        <v>203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2</v>
      </c>
      <c r="AE8">
        <v>5</v>
      </c>
      <c r="AF8">
        <v>18</v>
      </c>
      <c r="AG8">
        <v>28</v>
      </c>
      <c r="AH8">
        <v>43</v>
      </c>
      <c r="AI8">
        <v>61</v>
      </c>
      <c r="AJ8">
        <v>95</v>
      </c>
      <c r="AK8">
        <v>139</v>
      </c>
      <c r="AL8">
        <v>245</v>
      </c>
      <c r="AM8">
        <v>388</v>
      </c>
      <c r="AN8">
        <v>593</v>
      </c>
      <c r="AO8">
        <v>978</v>
      </c>
      <c r="AP8">
        <v>1501</v>
      </c>
      <c r="AQ8">
        <v>2336</v>
      </c>
      <c r="AR8">
        <v>2922</v>
      </c>
      <c r="AS8">
        <v>3513</v>
      </c>
      <c r="AT8">
        <v>4747</v>
      </c>
      <c r="AU8">
        <v>5823</v>
      </c>
      <c r="AV8">
        <v>6566</v>
      </c>
      <c r="AW8">
        <v>7161</v>
      </c>
      <c r="AX8">
        <v>8042</v>
      </c>
      <c r="AY8">
        <v>9000</v>
      </c>
      <c r="AZ8">
        <v>10075</v>
      </c>
      <c r="BA8">
        <v>11364</v>
      </c>
      <c r="BB8">
        <v>12729</v>
      </c>
      <c r="BC8">
        <v>13938</v>
      </c>
      <c r="BD8">
        <v>14991</v>
      </c>
      <c r="BE8">
        <v>16169</v>
      </c>
      <c r="BF8">
        <v>17361</v>
      </c>
      <c r="BG8">
        <v>18407</v>
      </c>
      <c r="BH8">
        <v>19644</v>
      </c>
      <c r="BI8">
        <v>20610</v>
      </c>
      <c r="BJ8">
        <v>21638</v>
      </c>
      <c r="BK8">
        <v>23049</v>
      </c>
      <c r="BL8">
        <v>24811</v>
      </c>
    </row>
    <row r="9" spans="1:64" x14ac:dyDescent="0.3">
      <c r="A9" s="1" t="s">
        <v>55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3</v>
      </c>
      <c r="S9">
        <v>3</v>
      </c>
      <c r="T9">
        <v>3</v>
      </c>
      <c r="U9">
        <v>3</v>
      </c>
      <c r="V9">
        <v>3</v>
      </c>
      <c r="W9">
        <v>3</v>
      </c>
      <c r="X9">
        <v>3</v>
      </c>
      <c r="Y9">
        <v>3</v>
      </c>
      <c r="Z9">
        <v>3</v>
      </c>
      <c r="AA9">
        <v>3</v>
      </c>
      <c r="AB9">
        <v>3</v>
      </c>
      <c r="AC9">
        <v>3</v>
      </c>
      <c r="AD9">
        <v>3</v>
      </c>
      <c r="AE9">
        <v>3</v>
      </c>
      <c r="AF9">
        <v>20</v>
      </c>
      <c r="AG9">
        <v>62</v>
      </c>
      <c r="AH9">
        <v>155</v>
      </c>
      <c r="AI9">
        <v>229</v>
      </c>
      <c r="AJ9">
        <v>322</v>
      </c>
      <c r="AK9">
        <v>453</v>
      </c>
      <c r="AL9">
        <v>655</v>
      </c>
      <c r="AM9">
        <v>888</v>
      </c>
      <c r="AN9">
        <v>1128</v>
      </c>
      <c r="AO9">
        <v>1694</v>
      </c>
      <c r="AP9">
        <v>2036</v>
      </c>
      <c r="AQ9">
        <v>2502</v>
      </c>
      <c r="AR9">
        <v>3089</v>
      </c>
      <c r="AS9">
        <v>3858</v>
      </c>
      <c r="AT9">
        <v>4636</v>
      </c>
      <c r="AU9">
        <v>5883</v>
      </c>
      <c r="AV9">
        <v>7375</v>
      </c>
      <c r="AW9">
        <v>9172</v>
      </c>
      <c r="AX9">
        <v>10149</v>
      </c>
      <c r="AY9">
        <v>12462</v>
      </c>
      <c r="AZ9">
        <v>12462</v>
      </c>
      <c r="BA9">
        <v>17660</v>
      </c>
      <c r="BB9">
        <v>21157</v>
      </c>
      <c r="BC9">
        <v>24747</v>
      </c>
      <c r="BD9">
        <v>27980</v>
      </c>
      <c r="BE9">
        <v>31506</v>
      </c>
      <c r="BF9">
        <v>35713</v>
      </c>
      <c r="BG9">
        <v>41035</v>
      </c>
      <c r="BH9">
        <v>47021</v>
      </c>
      <c r="BI9">
        <v>53578</v>
      </c>
      <c r="BJ9">
        <v>59138</v>
      </c>
      <c r="BK9">
        <v>63927</v>
      </c>
      <c r="BL9">
        <v>69176</v>
      </c>
    </row>
    <row r="10" spans="1:64" x14ac:dyDescent="0.3">
      <c r="A10" s="1" t="s">
        <v>2</v>
      </c>
      <c r="B10">
        <v>2</v>
      </c>
      <c r="C10">
        <v>2</v>
      </c>
      <c r="D10">
        <v>2</v>
      </c>
      <c r="E10">
        <v>2</v>
      </c>
      <c r="F10">
        <v>4</v>
      </c>
      <c r="G10">
        <v>4</v>
      </c>
      <c r="H10">
        <v>7</v>
      </c>
      <c r="I10">
        <v>7</v>
      </c>
      <c r="J10">
        <v>11</v>
      </c>
      <c r="K10">
        <v>15</v>
      </c>
      <c r="L10">
        <v>20</v>
      </c>
      <c r="M10">
        <v>20</v>
      </c>
      <c r="N10">
        <v>20</v>
      </c>
      <c r="O10">
        <v>22</v>
      </c>
      <c r="P10">
        <v>22</v>
      </c>
      <c r="Q10">
        <v>22</v>
      </c>
      <c r="R10">
        <v>25</v>
      </c>
      <c r="S10">
        <v>25</v>
      </c>
      <c r="T10">
        <v>26</v>
      </c>
      <c r="U10">
        <v>26</v>
      </c>
      <c r="V10">
        <v>26</v>
      </c>
      <c r="W10">
        <v>28</v>
      </c>
      <c r="X10">
        <v>28</v>
      </c>
      <c r="Y10">
        <v>29</v>
      </c>
      <c r="Z10">
        <v>43</v>
      </c>
      <c r="AA10">
        <v>59</v>
      </c>
      <c r="AB10">
        <v>66</v>
      </c>
      <c r="AC10">
        <v>74</v>
      </c>
      <c r="AD10">
        <v>84</v>
      </c>
      <c r="AE10">
        <v>94</v>
      </c>
      <c r="AF10">
        <v>105</v>
      </c>
      <c r="AG10">
        <v>122</v>
      </c>
      <c r="AH10">
        <v>147</v>
      </c>
      <c r="AI10">
        <v>159</v>
      </c>
      <c r="AJ10">
        <v>170</v>
      </c>
      <c r="AK10">
        <v>189</v>
      </c>
      <c r="AL10">
        <v>214</v>
      </c>
      <c r="AM10">
        <v>228</v>
      </c>
      <c r="AN10">
        <v>241</v>
      </c>
      <c r="AO10">
        <v>256</v>
      </c>
      <c r="AP10">
        <v>274</v>
      </c>
      <c r="AQ10">
        <v>293</v>
      </c>
      <c r="AR10">
        <v>331</v>
      </c>
      <c r="AS10">
        <v>360</v>
      </c>
      <c r="AT10">
        <v>420</v>
      </c>
      <c r="AU10">
        <v>461</v>
      </c>
      <c r="AV10">
        <v>502</v>
      </c>
      <c r="AW10">
        <v>511</v>
      </c>
      <c r="AX10">
        <v>581</v>
      </c>
      <c r="AY10">
        <v>639</v>
      </c>
      <c r="AZ10">
        <v>639</v>
      </c>
      <c r="BA10">
        <v>701</v>
      </c>
      <c r="BB10">
        <v>773</v>
      </c>
      <c r="BC10">
        <v>839</v>
      </c>
      <c r="BD10">
        <v>839</v>
      </c>
      <c r="BE10">
        <v>878</v>
      </c>
      <c r="BF10">
        <v>889</v>
      </c>
      <c r="BG10">
        <v>924</v>
      </c>
      <c r="BH10">
        <v>963</v>
      </c>
      <c r="BI10">
        <v>1007</v>
      </c>
      <c r="BJ10">
        <v>1101</v>
      </c>
      <c r="BK10">
        <v>1128</v>
      </c>
      <c r="BL10">
        <v>1193</v>
      </c>
    </row>
    <row r="11" spans="1:64" x14ac:dyDescent="0.3">
      <c r="A11" s="1" t="s">
        <v>204</v>
      </c>
      <c r="B11">
        <v>1</v>
      </c>
      <c r="C11">
        <v>1</v>
      </c>
      <c r="D11">
        <v>2</v>
      </c>
      <c r="E11">
        <v>2</v>
      </c>
      <c r="F11">
        <v>3</v>
      </c>
      <c r="G11">
        <v>4</v>
      </c>
      <c r="H11">
        <v>4</v>
      </c>
      <c r="I11">
        <v>4</v>
      </c>
      <c r="J11">
        <v>4</v>
      </c>
      <c r="K11">
        <v>11</v>
      </c>
      <c r="L11">
        <v>12</v>
      </c>
      <c r="M11">
        <v>15</v>
      </c>
      <c r="N11">
        <v>15</v>
      </c>
      <c r="O11">
        <v>16</v>
      </c>
      <c r="P11">
        <v>19</v>
      </c>
      <c r="Q11">
        <v>23</v>
      </c>
      <c r="R11">
        <v>24</v>
      </c>
      <c r="S11">
        <v>24</v>
      </c>
      <c r="T11">
        <v>25</v>
      </c>
      <c r="U11">
        <v>27</v>
      </c>
      <c r="V11">
        <v>28</v>
      </c>
      <c r="W11">
        <v>28</v>
      </c>
      <c r="X11">
        <v>28</v>
      </c>
      <c r="Y11">
        <v>28</v>
      </c>
      <c r="Z11">
        <v>28</v>
      </c>
      <c r="AA11">
        <v>29</v>
      </c>
      <c r="AB11">
        <v>30</v>
      </c>
      <c r="AC11">
        <v>31</v>
      </c>
      <c r="AD11">
        <v>31</v>
      </c>
      <c r="AE11">
        <v>104</v>
      </c>
      <c r="AF11">
        <v>204</v>
      </c>
      <c r="AG11">
        <v>433</v>
      </c>
      <c r="AH11">
        <v>602</v>
      </c>
      <c r="AI11">
        <v>833</v>
      </c>
      <c r="AJ11">
        <v>977</v>
      </c>
      <c r="AK11">
        <v>1261</v>
      </c>
      <c r="AL11">
        <v>1766</v>
      </c>
      <c r="AM11">
        <v>2337</v>
      </c>
      <c r="AN11">
        <v>3150</v>
      </c>
      <c r="AO11">
        <v>3736</v>
      </c>
      <c r="AP11">
        <v>4335</v>
      </c>
      <c r="AQ11">
        <v>5186</v>
      </c>
      <c r="AR11">
        <v>5621</v>
      </c>
      <c r="AS11">
        <v>6088</v>
      </c>
      <c r="AT11">
        <v>6593</v>
      </c>
      <c r="AU11">
        <v>7041</v>
      </c>
      <c r="AV11">
        <v>7314</v>
      </c>
      <c r="AW11">
        <v>7478</v>
      </c>
      <c r="AX11">
        <v>7513</v>
      </c>
      <c r="AY11">
        <v>7755</v>
      </c>
      <c r="AZ11">
        <v>7869</v>
      </c>
      <c r="BA11">
        <v>7979</v>
      </c>
      <c r="BB11">
        <v>8086</v>
      </c>
      <c r="BC11">
        <v>8162</v>
      </c>
      <c r="BD11">
        <v>8236</v>
      </c>
      <c r="BE11">
        <v>8320</v>
      </c>
      <c r="BF11">
        <v>8413</v>
      </c>
      <c r="BG11">
        <v>8565</v>
      </c>
      <c r="BH11">
        <v>8652</v>
      </c>
      <c r="BI11">
        <v>8799</v>
      </c>
      <c r="BJ11">
        <v>8961</v>
      </c>
      <c r="BK11">
        <v>8961</v>
      </c>
      <c r="BL11">
        <v>9037</v>
      </c>
    </row>
    <row r="12" spans="1:64" x14ac:dyDescent="0.3">
      <c r="A12" s="1" t="s">
        <v>205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3</v>
      </c>
      <c r="S12">
        <v>3</v>
      </c>
      <c r="T12">
        <v>3</v>
      </c>
      <c r="U12">
        <v>8</v>
      </c>
      <c r="V12">
        <v>8</v>
      </c>
      <c r="W12">
        <v>9</v>
      </c>
      <c r="X12">
        <v>9</v>
      </c>
      <c r="Y12">
        <v>9</v>
      </c>
      <c r="Z12">
        <v>9</v>
      </c>
      <c r="AA12">
        <v>9</v>
      </c>
      <c r="AB12">
        <v>9</v>
      </c>
      <c r="AC12">
        <v>9</v>
      </c>
      <c r="AD12">
        <v>9</v>
      </c>
      <c r="AE12">
        <v>9</v>
      </c>
      <c r="AF12">
        <v>9</v>
      </c>
      <c r="AG12">
        <v>9</v>
      </c>
      <c r="AH12">
        <v>9</v>
      </c>
      <c r="AI12">
        <v>13</v>
      </c>
      <c r="AJ12">
        <v>13</v>
      </c>
      <c r="AK12">
        <v>13</v>
      </c>
      <c r="AL12">
        <v>15</v>
      </c>
      <c r="AM12">
        <v>20</v>
      </c>
      <c r="AN12">
        <v>23</v>
      </c>
      <c r="AO12">
        <v>36</v>
      </c>
      <c r="AP12">
        <v>40</v>
      </c>
      <c r="AQ12">
        <v>51</v>
      </c>
      <c r="AR12">
        <v>86</v>
      </c>
      <c r="AS12">
        <v>116</v>
      </c>
      <c r="AT12">
        <v>164</v>
      </c>
      <c r="AU12">
        <v>207</v>
      </c>
      <c r="AV12">
        <v>274</v>
      </c>
      <c r="AW12">
        <v>322</v>
      </c>
      <c r="AX12">
        <v>384</v>
      </c>
      <c r="AY12">
        <v>459</v>
      </c>
      <c r="AZ12">
        <v>459</v>
      </c>
      <c r="BA12">
        <v>802</v>
      </c>
      <c r="BB12">
        <v>1144</v>
      </c>
      <c r="BC12">
        <v>1145</v>
      </c>
      <c r="BD12">
        <v>1551</v>
      </c>
      <c r="BE12">
        <v>1960</v>
      </c>
      <c r="BF12">
        <v>2642</v>
      </c>
      <c r="BG12">
        <v>2716</v>
      </c>
      <c r="BH12">
        <v>4014</v>
      </c>
      <c r="BI12">
        <v>5067</v>
      </c>
      <c r="BJ12">
        <v>5745</v>
      </c>
      <c r="BK12">
        <v>6726</v>
      </c>
      <c r="BL12">
        <v>8164</v>
      </c>
    </row>
    <row r="13" spans="1:64" x14ac:dyDescent="0.3">
      <c r="A13" s="1" t="s">
        <v>18</v>
      </c>
      <c r="B13">
        <v>1</v>
      </c>
      <c r="C13">
        <v>1</v>
      </c>
      <c r="D13">
        <v>2</v>
      </c>
      <c r="E13">
        <v>2</v>
      </c>
      <c r="F13">
        <v>5</v>
      </c>
      <c r="G13">
        <v>5</v>
      </c>
      <c r="H13">
        <v>5</v>
      </c>
      <c r="I13">
        <v>5</v>
      </c>
      <c r="J13">
        <v>5</v>
      </c>
      <c r="K13">
        <v>7</v>
      </c>
      <c r="L13">
        <v>8</v>
      </c>
      <c r="M13">
        <v>8</v>
      </c>
      <c r="N13">
        <v>11</v>
      </c>
      <c r="O13">
        <v>11</v>
      </c>
      <c r="P13">
        <v>11</v>
      </c>
      <c r="Q13">
        <v>11</v>
      </c>
      <c r="R13">
        <v>11</v>
      </c>
      <c r="S13">
        <v>11</v>
      </c>
      <c r="T13">
        <v>11</v>
      </c>
      <c r="U13">
        <v>11</v>
      </c>
      <c r="V13">
        <v>12</v>
      </c>
      <c r="W13">
        <v>12</v>
      </c>
      <c r="X13">
        <v>13</v>
      </c>
      <c r="Y13">
        <v>13</v>
      </c>
      <c r="Z13">
        <v>13</v>
      </c>
      <c r="AA13">
        <v>13</v>
      </c>
      <c r="AB13">
        <v>13</v>
      </c>
      <c r="AC13">
        <v>13</v>
      </c>
      <c r="AD13">
        <v>13</v>
      </c>
      <c r="AE13">
        <v>13</v>
      </c>
      <c r="AF13">
        <v>15</v>
      </c>
      <c r="AG13">
        <v>15</v>
      </c>
      <c r="AH13">
        <v>15</v>
      </c>
      <c r="AI13">
        <v>51</v>
      </c>
      <c r="AJ13">
        <v>51</v>
      </c>
      <c r="AK13">
        <v>57</v>
      </c>
      <c r="AL13">
        <v>58</v>
      </c>
      <c r="AM13">
        <v>60</v>
      </c>
      <c r="AN13">
        <v>68</v>
      </c>
      <c r="AO13">
        <v>74</v>
      </c>
      <c r="AP13">
        <v>98</v>
      </c>
      <c r="AQ13">
        <v>118</v>
      </c>
      <c r="AR13">
        <v>149</v>
      </c>
      <c r="AS13">
        <v>217</v>
      </c>
      <c r="AT13">
        <v>262</v>
      </c>
      <c r="AU13">
        <v>402</v>
      </c>
      <c r="AV13">
        <v>518</v>
      </c>
      <c r="AW13">
        <v>583</v>
      </c>
      <c r="AX13">
        <v>959</v>
      </c>
      <c r="AY13">
        <v>1281</v>
      </c>
      <c r="AZ13">
        <v>1663</v>
      </c>
      <c r="BA13">
        <v>2179</v>
      </c>
      <c r="BB13">
        <v>2727</v>
      </c>
      <c r="BC13">
        <v>3499</v>
      </c>
      <c r="BD13">
        <v>4632</v>
      </c>
      <c r="BE13">
        <v>6421</v>
      </c>
      <c r="BF13">
        <v>7783</v>
      </c>
      <c r="BG13">
        <v>13677</v>
      </c>
      <c r="BH13">
        <v>19100</v>
      </c>
      <c r="BI13">
        <v>25489</v>
      </c>
      <c r="BJ13">
        <v>33276</v>
      </c>
      <c r="BK13">
        <v>43847</v>
      </c>
      <c r="BL13">
        <v>53740</v>
      </c>
    </row>
    <row r="20" spans="1:64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487C4-8380-4790-B14B-5DDA2157D295}">
  <sheetPr codeName="Sheet1"/>
  <dimension ref="A1:C13"/>
  <sheetViews>
    <sheetView workbookViewId="0">
      <selection activeCell="S26" sqref="S26"/>
    </sheetView>
  </sheetViews>
  <sheetFormatPr defaultRowHeight="14.4" x14ac:dyDescent="0.3"/>
  <cols>
    <col min="1" max="1" width="14" bestFit="1" customWidth="1"/>
    <col min="3" max="3" width="8.44140625" customWidth="1"/>
  </cols>
  <sheetData>
    <row r="1" spans="1:3" x14ac:dyDescent="0.3">
      <c r="A1" t="s">
        <v>663</v>
      </c>
    </row>
    <row r="2" spans="1:3" x14ac:dyDescent="0.3">
      <c r="A2" t="s">
        <v>42</v>
      </c>
    </row>
    <row r="3" spans="1:3" x14ac:dyDescent="0.3">
      <c r="A3" t="s">
        <v>43</v>
      </c>
      <c r="C3" t="s">
        <v>672</v>
      </c>
    </row>
    <row r="4" spans="1:3" x14ac:dyDescent="0.3">
      <c r="A4" t="s">
        <v>202</v>
      </c>
    </row>
    <row r="5" spans="1:3" x14ac:dyDescent="0.3">
      <c r="A5" t="s">
        <v>79</v>
      </c>
    </row>
    <row r="6" spans="1:3" x14ac:dyDescent="0.3">
      <c r="A6" t="s">
        <v>36</v>
      </c>
    </row>
    <row r="7" spans="1:3" x14ac:dyDescent="0.3">
      <c r="A7" t="s">
        <v>203</v>
      </c>
    </row>
    <row r="8" spans="1:3" x14ac:dyDescent="0.3">
      <c r="A8" t="s">
        <v>55</v>
      </c>
    </row>
    <row r="9" spans="1:3" x14ac:dyDescent="0.3">
      <c r="A9" t="s">
        <v>46</v>
      </c>
    </row>
    <row r="10" spans="1:3" x14ac:dyDescent="0.3">
      <c r="A10" t="s">
        <v>2</v>
      </c>
    </row>
    <row r="11" spans="1:3" x14ac:dyDescent="0.3">
      <c r="A11" t="s">
        <v>204</v>
      </c>
    </row>
    <row r="12" spans="1:3" x14ac:dyDescent="0.3">
      <c r="A12" t="s">
        <v>205</v>
      </c>
    </row>
    <row r="13" spans="1:3" x14ac:dyDescent="0.3">
      <c r="A13" t="s">
        <v>18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7C909-2774-49F9-822E-36FEDEFF0CC7}">
  <sheetPr codeName="Sheet6"/>
  <dimension ref="A1:BO82"/>
  <sheetViews>
    <sheetView workbookViewId="0">
      <selection activeCell="M100" sqref="M100"/>
    </sheetView>
  </sheetViews>
  <sheetFormatPr defaultRowHeight="14.4" x14ac:dyDescent="0.3"/>
  <cols>
    <col min="1" max="1" width="24.5546875" bestFit="1" customWidth="1"/>
    <col min="2" max="2" width="16.77734375" bestFit="1" customWidth="1"/>
    <col min="3" max="3" width="8.6640625" bestFit="1" customWidth="1"/>
    <col min="4" max="4" width="9.6640625" bestFit="1" customWidth="1"/>
    <col min="5" max="14" width="10" bestFit="1" customWidth="1"/>
    <col min="15" max="23" width="9" bestFit="1" customWidth="1"/>
    <col min="24" max="43" width="10" bestFit="1" customWidth="1"/>
    <col min="44" max="52" width="9" bestFit="1" customWidth="1"/>
    <col min="53" max="56" width="10" bestFit="1" customWidth="1"/>
    <col min="57" max="67" width="10" customWidth="1"/>
    <col min="68" max="68" width="23.5546875" bestFit="1" customWidth="1"/>
    <col min="69" max="69" width="22.44140625" bestFit="1" customWidth="1"/>
    <col min="70" max="76" width="11.109375" bestFit="1" customWidth="1"/>
    <col min="77" max="121" width="12.109375" bestFit="1" customWidth="1"/>
  </cols>
  <sheetData>
    <row r="1" spans="1:67" x14ac:dyDescent="0.3">
      <c r="A1" t="s">
        <v>150</v>
      </c>
      <c r="B1" t="s">
        <v>151</v>
      </c>
      <c r="C1" t="s">
        <v>0</v>
      </c>
      <c r="D1" t="s">
        <v>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  <c r="P1" t="s">
        <v>163</v>
      </c>
      <c r="Q1" t="s">
        <v>164</v>
      </c>
      <c r="R1" t="s">
        <v>165</v>
      </c>
      <c r="S1" t="s">
        <v>166</v>
      </c>
      <c r="T1" t="s">
        <v>167</v>
      </c>
      <c r="U1" t="s">
        <v>168</v>
      </c>
      <c r="V1" t="s">
        <v>169</v>
      </c>
      <c r="W1" t="s">
        <v>170</v>
      </c>
      <c r="X1" t="s">
        <v>171</v>
      </c>
      <c r="Y1" t="s">
        <v>172</v>
      </c>
      <c r="Z1" t="s">
        <v>173</v>
      </c>
      <c r="AA1" t="s">
        <v>174</v>
      </c>
      <c r="AB1" t="s">
        <v>175</v>
      </c>
      <c r="AC1" t="s">
        <v>176</v>
      </c>
      <c r="AD1" t="s">
        <v>177</v>
      </c>
      <c r="AE1" t="s">
        <v>178</v>
      </c>
      <c r="AF1" t="s">
        <v>179</v>
      </c>
      <c r="AG1" t="s">
        <v>180</v>
      </c>
      <c r="AH1" t="s">
        <v>181</v>
      </c>
      <c r="AI1" t="s">
        <v>182</v>
      </c>
      <c r="AJ1" t="s">
        <v>183</v>
      </c>
      <c r="AK1" t="s">
        <v>184</v>
      </c>
      <c r="AL1" t="s">
        <v>185</v>
      </c>
      <c r="AM1" t="s">
        <v>186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277</v>
      </c>
      <c r="BD1" t="s">
        <v>278</v>
      </c>
      <c r="BE1" t="s">
        <v>279</v>
      </c>
      <c r="BF1" t="s">
        <v>307</v>
      </c>
      <c r="BG1" t="s">
        <v>315</v>
      </c>
      <c r="BH1" t="s">
        <v>410</v>
      </c>
      <c r="BI1" t="s">
        <v>413</v>
      </c>
      <c r="BJ1" t="s">
        <v>649</v>
      </c>
      <c r="BK1" t="s">
        <v>652</v>
      </c>
      <c r="BL1" t="s">
        <v>654</v>
      </c>
      <c r="BM1" t="s">
        <v>656</v>
      </c>
      <c r="BN1" t="s">
        <v>667</v>
      </c>
      <c r="BO1" t="s">
        <v>669</v>
      </c>
    </row>
    <row r="2" spans="1:67" x14ac:dyDescent="0.3">
      <c r="A2" s="1" t="s">
        <v>280</v>
      </c>
      <c r="B2" s="1" t="s">
        <v>42</v>
      </c>
      <c r="C2" s="1">
        <v>-35.473500000000001</v>
      </c>
      <c r="D2" s="1">
        <v>149.01240000000001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>
        <v>1</v>
      </c>
      <c r="BE2">
        <v>1</v>
      </c>
      <c r="BF2">
        <v>1</v>
      </c>
      <c r="BG2">
        <v>2</v>
      </c>
      <c r="BH2">
        <v>2</v>
      </c>
      <c r="BI2">
        <v>3</v>
      </c>
      <c r="BJ2">
        <v>4</v>
      </c>
      <c r="BK2">
        <v>6</v>
      </c>
      <c r="BL2">
        <v>9</v>
      </c>
      <c r="BM2">
        <v>19</v>
      </c>
      <c r="BN2">
        <v>32</v>
      </c>
      <c r="BO2">
        <v>39</v>
      </c>
    </row>
    <row r="3" spans="1:67" x14ac:dyDescent="0.3">
      <c r="A3" s="1" t="s">
        <v>41</v>
      </c>
      <c r="B3" s="1" t="s">
        <v>42</v>
      </c>
      <c r="C3" s="1">
        <v>-33.8688</v>
      </c>
      <c r="D3" s="1">
        <v>151.20930000000001</v>
      </c>
      <c r="E3" s="1">
        <v>0</v>
      </c>
      <c r="F3" s="1">
        <v>0</v>
      </c>
      <c r="G3" s="1">
        <v>0</v>
      </c>
      <c r="H3" s="1">
        <v>0</v>
      </c>
      <c r="I3" s="1">
        <v>3</v>
      </c>
      <c r="J3" s="1">
        <v>4</v>
      </c>
      <c r="K3" s="1">
        <v>4</v>
      </c>
      <c r="L3" s="1">
        <v>4</v>
      </c>
      <c r="M3" s="1">
        <v>4</v>
      </c>
      <c r="N3" s="1">
        <v>4</v>
      </c>
      <c r="O3" s="1">
        <v>4</v>
      </c>
      <c r="P3" s="1">
        <v>4</v>
      </c>
      <c r="Q3" s="1">
        <v>4</v>
      </c>
      <c r="R3" s="1">
        <v>4</v>
      </c>
      <c r="S3" s="1">
        <v>4</v>
      </c>
      <c r="T3" s="1">
        <v>4</v>
      </c>
      <c r="U3" s="1">
        <v>4</v>
      </c>
      <c r="V3" s="1">
        <v>4</v>
      </c>
      <c r="W3" s="1">
        <v>4</v>
      </c>
      <c r="X3" s="1">
        <v>4</v>
      </c>
      <c r="Y3" s="1">
        <v>4</v>
      </c>
      <c r="Z3" s="1">
        <v>4</v>
      </c>
      <c r="AA3" s="1">
        <v>4</v>
      </c>
      <c r="AB3" s="1">
        <v>4</v>
      </c>
      <c r="AC3" s="1">
        <v>4</v>
      </c>
      <c r="AD3" s="1">
        <v>4</v>
      </c>
      <c r="AE3" s="1">
        <v>4</v>
      </c>
      <c r="AF3" s="1">
        <v>4</v>
      </c>
      <c r="AG3" s="1">
        <v>4</v>
      </c>
      <c r="AH3" s="1">
        <v>4</v>
      </c>
      <c r="AI3" s="1">
        <v>4</v>
      </c>
      <c r="AJ3" s="1">
        <v>4</v>
      </c>
      <c r="AK3" s="1">
        <v>4</v>
      </c>
      <c r="AL3" s="1">
        <v>4</v>
      </c>
      <c r="AM3" s="1">
        <v>4</v>
      </c>
      <c r="AN3" s="1">
        <v>4</v>
      </c>
      <c r="AO3" s="1">
        <v>4</v>
      </c>
      <c r="AP3" s="1">
        <v>4</v>
      </c>
      <c r="AQ3" s="1">
        <v>4</v>
      </c>
      <c r="AR3" s="1">
        <v>6</v>
      </c>
      <c r="AS3" s="1">
        <v>6</v>
      </c>
      <c r="AT3" s="1">
        <v>13</v>
      </c>
      <c r="AU3" s="1">
        <v>22</v>
      </c>
      <c r="AV3" s="1">
        <v>22</v>
      </c>
      <c r="AW3" s="1">
        <v>26</v>
      </c>
      <c r="AX3" s="1">
        <v>28</v>
      </c>
      <c r="AY3" s="1">
        <v>38</v>
      </c>
      <c r="AZ3" s="1">
        <v>48</v>
      </c>
      <c r="BA3" s="1">
        <v>55</v>
      </c>
      <c r="BB3" s="1">
        <v>65</v>
      </c>
      <c r="BC3" s="1">
        <v>65</v>
      </c>
      <c r="BD3">
        <v>92</v>
      </c>
      <c r="BE3">
        <v>112</v>
      </c>
      <c r="BF3">
        <v>134</v>
      </c>
      <c r="BG3">
        <v>171</v>
      </c>
      <c r="BH3">
        <v>210</v>
      </c>
      <c r="BI3">
        <v>267</v>
      </c>
      <c r="BJ3">
        <v>307</v>
      </c>
      <c r="BK3">
        <v>353</v>
      </c>
      <c r="BL3">
        <v>436</v>
      </c>
      <c r="BM3">
        <v>669</v>
      </c>
      <c r="BN3">
        <v>669</v>
      </c>
      <c r="BO3">
        <v>818</v>
      </c>
    </row>
    <row r="4" spans="1:67" x14ac:dyDescent="0.3">
      <c r="A4" s="1" t="s">
        <v>117</v>
      </c>
      <c r="B4" s="1" t="s">
        <v>42</v>
      </c>
      <c r="C4" s="1">
        <v>-12.4634</v>
      </c>
      <c r="D4" s="1">
        <v>130.84559999999999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0</v>
      </c>
      <c r="AX4" s="1">
        <v>0</v>
      </c>
      <c r="AY4" s="1">
        <v>0</v>
      </c>
      <c r="AZ4" s="1">
        <v>0</v>
      </c>
      <c r="BA4" s="1">
        <v>1</v>
      </c>
      <c r="BB4" s="1">
        <v>1</v>
      </c>
      <c r="BC4" s="1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3</v>
      </c>
      <c r="BL4">
        <v>3</v>
      </c>
      <c r="BM4">
        <v>5</v>
      </c>
      <c r="BN4">
        <v>5</v>
      </c>
      <c r="BO4">
        <v>6</v>
      </c>
    </row>
    <row r="5" spans="1:67" x14ac:dyDescent="0.3">
      <c r="A5" s="1" t="s">
        <v>51</v>
      </c>
      <c r="B5" s="1" t="s">
        <v>42</v>
      </c>
      <c r="C5" s="1">
        <v>-28.0167</v>
      </c>
      <c r="D5" s="1">
        <v>153.4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1</v>
      </c>
      <c r="M5" s="1">
        <v>3</v>
      </c>
      <c r="N5" s="1">
        <v>2</v>
      </c>
      <c r="O5" s="1">
        <v>3</v>
      </c>
      <c r="P5" s="1">
        <v>2</v>
      </c>
      <c r="Q5" s="1">
        <v>2</v>
      </c>
      <c r="R5" s="1">
        <v>3</v>
      </c>
      <c r="S5" s="1">
        <v>3</v>
      </c>
      <c r="T5" s="1">
        <v>4</v>
      </c>
      <c r="U5" s="1">
        <v>5</v>
      </c>
      <c r="V5" s="1">
        <v>5</v>
      </c>
      <c r="W5" s="1">
        <v>5</v>
      </c>
      <c r="X5" s="1">
        <v>5</v>
      </c>
      <c r="Y5" s="1">
        <v>5</v>
      </c>
      <c r="Z5" s="1">
        <v>5</v>
      </c>
      <c r="AA5" s="1">
        <v>5</v>
      </c>
      <c r="AB5" s="1">
        <v>5</v>
      </c>
      <c r="AC5" s="1">
        <v>5</v>
      </c>
      <c r="AD5" s="1">
        <v>5</v>
      </c>
      <c r="AE5" s="1">
        <v>5</v>
      </c>
      <c r="AF5" s="1">
        <v>5</v>
      </c>
      <c r="AG5" s="1">
        <v>5</v>
      </c>
      <c r="AH5" s="1">
        <v>5</v>
      </c>
      <c r="AI5" s="1">
        <v>5</v>
      </c>
      <c r="AJ5" s="1">
        <v>5</v>
      </c>
      <c r="AK5" s="1">
        <v>5</v>
      </c>
      <c r="AL5" s="1">
        <v>5</v>
      </c>
      <c r="AM5" s="1">
        <v>5</v>
      </c>
      <c r="AN5" s="1">
        <v>5</v>
      </c>
      <c r="AO5" s="1">
        <v>5</v>
      </c>
      <c r="AP5" s="1">
        <v>5</v>
      </c>
      <c r="AQ5" s="1">
        <v>9</v>
      </c>
      <c r="AR5" s="1">
        <v>9</v>
      </c>
      <c r="AS5" s="1">
        <v>9</v>
      </c>
      <c r="AT5" s="1">
        <v>11</v>
      </c>
      <c r="AU5" s="1">
        <v>11</v>
      </c>
      <c r="AV5" s="1">
        <v>13</v>
      </c>
      <c r="AW5" s="1">
        <v>13</v>
      </c>
      <c r="AX5" s="1">
        <v>13</v>
      </c>
      <c r="AY5" s="1">
        <v>15</v>
      </c>
      <c r="AZ5" s="1">
        <v>15</v>
      </c>
      <c r="BA5" s="1">
        <v>18</v>
      </c>
      <c r="BB5" s="1">
        <v>20</v>
      </c>
      <c r="BC5" s="1">
        <v>20</v>
      </c>
      <c r="BD5">
        <v>35</v>
      </c>
      <c r="BE5">
        <v>46</v>
      </c>
      <c r="BF5">
        <v>61</v>
      </c>
      <c r="BG5">
        <v>68</v>
      </c>
      <c r="BH5">
        <v>78</v>
      </c>
      <c r="BI5">
        <v>94</v>
      </c>
      <c r="BJ5">
        <v>144</v>
      </c>
      <c r="BK5">
        <v>184</v>
      </c>
      <c r="BL5">
        <v>221</v>
      </c>
      <c r="BM5">
        <v>259</v>
      </c>
      <c r="BN5">
        <v>319</v>
      </c>
      <c r="BO5">
        <v>397</v>
      </c>
    </row>
    <row r="6" spans="1:67" x14ac:dyDescent="0.3">
      <c r="A6" s="1" t="s">
        <v>58</v>
      </c>
      <c r="B6" s="1" t="s">
        <v>42</v>
      </c>
      <c r="C6" s="1">
        <v>-34.9285</v>
      </c>
      <c r="D6" s="1">
        <v>138.60069999999999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1</v>
      </c>
      <c r="P6" s="1">
        <v>2</v>
      </c>
      <c r="Q6" s="1">
        <v>2</v>
      </c>
      <c r="R6" s="1">
        <v>2</v>
      </c>
      <c r="S6" s="1">
        <v>2</v>
      </c>
      <c r="T6" s="1">
        <v>2</v>
      </c>
      <c r="U6" s="1">
        <v>2</v>
      </c>
      <c r="V6" s="1">
        <v>2</v>
      </c>
      <c r="W6" s="1">
        <v>2</v>
      </c>
      <c r="X6" s="1">
        <v>2</v>
      </c>
      <c r="Y6" s="1">
        <v>2</v>
      </c>
      <c r="Z6" s="1">
        <v>2</v>
      </c>
      <c r="AA6" s="1">
        <v>2</v>
      </c>
      <c r="AB6" s="1">
        <v>2</v>
      </c>
      <c r="AC6" s="1">
        <v>2</v>
      </c>
      <c r="AD6" s="1">
        <v>2</v>
      </c>
      <c r="AE6" s="1">
        <v>2</v>
      </c>
      <c r="AF6" s="1">
        <v>2</v>
      </c>
      <c r="AG6" s="1">
        <v>2</v>
      </c>
      <c r="AH6" s="1">
        <v>2</v>
      </c>
      <c r="AI6" s="1">
        <v>2</v>
      </c>
      <c r="AJ6" s="1">
        <v>2</v>
      </c>
      <c r="AK6" s="1">
        <v>2</v>
      </c>
      <c r="AL6" s="1">
        <v>2</v>
      </c>
      <c r="AM6" s="1">
        <v>2</v>
      </c>
      <c r="AN6" s="1">
        <v>2</v>
      </c>
      <c r="AO6" s="1">
        <v>2</v>
      </c>
      <c r="AP6" s="1">
        <v>2</v>
      </c>
      <c r="AQ6" s="1">
        <v>3</v>
      </c>
      <c r="AR6" s="1">
        <v>3</v>
      </c>
      <c r="AS6" s="1">
        <v>3</v>
      </c>
      <c r="AT6" s="1">
        <v>3</v>
      </c>
      <c r="AU6" s="1">
        <v>5</v>
      </c>
      <c r="AV6" s="1">
        <v>5</v>
      </c>
      <c r="AW6" s="1">
        <v>7</v>
      </c>
      <c r="AX6" s="1">
        <v>7</v>
      </c>
      <c r="AY6" s="1">
        <v>7</v>
      </c>
      <c r="AZ6" s="1">
        <v>7</v>
      </c>
      <c r="BA6" s="1">
        <v>7</v>
      </c>
      <c r="BB6" s="1">
        <v>9</v>
      </c>
      <c r="BC6" s="1">
        <v>9</v>
      </c>
      <c r="BD6">
        <v>16</v>
      </c>
      <c r="BE6">
        <v>19</v>
      </c>
      <c r="BF6">
        <v>20</v>
      </c>
      <c r="BG6">
        <v>29</v>
      </c>
      <c r="BH6">
        <v>29</v>
      </c>
      <c r="BI6">
        <v>37</v>
      </c>
      <c r="BJ6">
        <v>42</v>
      </c>
      <c r="BK6">
        <v>50</v>
      </c>
      <c r="BL6">
        <v>67</v>
      </c>
      <c r="BM6">
        <v>100</v>
      </c>
      <c r="BN6">
        <v>134</v>
      </c>
      <c r="BO6">
        <v>170</v>
      </c>
    </row>
    <row r="7" spans="1:67" x14ac:dyDescent="0.3">
      <c r="A7" s="1" t="s">
        <v>105</v>
      </c>
      <c r="B7" s="1" t="s">
        <v>42</v>
      </c>
      <c r="C7" s="1">
        <v>-41.454500000000003</v>
      </c>
      <c r="D7" s="1">
        <v>145.97069999999999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1</v>
      </c>
      <c r="AT7" s="1">
        <v>1</v>
      </c>
      <c r="AU7" s="1">
        <v>1</v>
      </c>
      <c r="AV7" s="1">
        <v>1</v>
      </c>
      <c r="AW7" s="1">
        <v>1</v>
      </c>
      <c r="AX7" s="1">
        <v>1</v>
      </c>
      <c r="AY7" s="1">
        <v>2</v>
      </c>
      <c r="AZ7" s="1">
        <v>2</v>
      </c>
      <c r="BA7" s="1">
        <v>2</v>
      </c>
      <c r="BB7" s="1">
        <v>3</v>
      </c>
      <c r="BC7" s="1">
        <v>3</v>
      </c>
      <c r="BD7">
        <v>5</v>
      </c>
      <c r="BE7">
        <v>5</v>
      </c>
      <c r="BF7">
        <v>6</v>
      </c>
      <c r="BG7">
        <v>7</v>
      </c>
      <c r="BH7">
        <v>7</v>
      </c>
      <c r="BI7">
        <v>10</v>
      </c>
      <c r="BJ7">
        <v>10</v>
      </c>
      <c r="BK7">
        <v>10</v>
      </c>
      <c r="BL7">
        <v>16</v>
      </c>
      <c r="BM7">
        <v>22</v>
      </c>
      <c r="BN7">
        <v>28</v>
      </c>
      <c r="BO7">
        <v>28</v>
      </c>
    </row>
    <row r="8" spans="1:67" x14ac:dyDescent="0.3">
      <c r="A8" s="1" t="s">
        <v>44</v>
      </c>
      <c r="B8" s="1" t="s">
        <v>42</v>
      </c>
      <c r="C8" s="1">
        <v>-37.813600000000001</v>
      </c>
      <c r="D8" s="1">
        <v>144.9631</v>
      </c>
      <c r="E8" s="1">
        <v>0</v>
      </c>
      <c r="F8" s="1">
        <v>0</v>
      </c>
      <c r="G8" s="1">
        <v>0</v>
      </c>
      <c r="H8" s="1">
        <v>0</v>
      </c>
      <c r="I8" s="1">
        <v>1</v>
      </c>
      <c r="J8" s="1">
        <v>1</v>
      </c>
      <c r="K8" s="1">
        <v>1</v>
      </c>
      <c r="L8" s="1">
        <v>1</v>
      </c>
      <c r="M8" s="1">
        <v>2</v>
      </c>
      <c r="N8" s="1">
        <v>3</v>
      </c>
      <c r="O8" s="1">
        <v>4</v>
      </c>
      <c r="P8" s="1">
        <v>4</v>
      </c>
      <c r="Q8" s="1">
        <v>4</v>
      </c>
      <c r="R8" s="1">
        <v>4</v>
      </c>
      <c r="S8" s="1">
        <v>4</v>
      </c>
      <c r="T8" s="1">
        <v>4</v>
      </c>
      <c r="U8" s="1">
        <v>4</v>
      </c>
      <c r="V8" s="1">
        <v>4</v>
      </c>
      <c r="W8" s="1">
        <v>4</v>
      </c>
      <c r="X8" s="1">
        <v>4</v>
      </c>
      <c r="Y8" s="1">
        <v>4</v>
      </c>
      <c r="Z8" s="1">
        <v>4</v>
      </c>
      <c r="AA8" s="1">
        <v>4</v>
      </c>
      <c r="AB8" s="1">
        <v>4</v>
      </c>
      <c r="AC8" s="1">
        <v>4</v>
      </c>
      <c r="AD8" s="1">
        <v>4</v>
      </c>
      <c r="AE8" s="1">
        <v>4</v>
      </c>
      <c r="AF8" s="1">
        <v>4</v>
      </c>
      <c r="AG8" s="1">
        <v>4</v>
      </c>
      <c r="AH8" s="1">
        <v>4</v>
      </c>
      <c r="AI8" s="1">
        <v>4</v>
      </c>
      <c r="AJ8" s="1">
        <v>4</v>
      </c>
      <c r="AK8" s="1">
        <v>4</v>
      </c>
      <c r="AL8" s="1">
        <v>4</v>
      </c>
      <c r="AM8" s="1">
        <v>4</v>
      </c>
      <c r="AN8" s="1">
        <v>4</v>
      </c>
      <c r="AO8" s="1">
        <v>4</v>
      </c>
      <c r="AP8" s="1">
        <v>4</v>
      </c>
      <c r="AQ8" s="1">
        <v>7</v>
      </c>
      <c r="AR8" s="1">
        <v>7</v>
      </c>
      <c r="AS8" s="1">
        <v>9</v>
      </c>
      <c r="AT8" s="1">
        <v>9</v>
      </c>
      <c r="AU8" s="1">
        <v>10</v>
      </c>
      <c r="AV8" s="1">
        <v>10</v>
      </c>
      <c r="AW8" s="1">
        <v>10</v>
      </c>
      <c r="AX8" s="1">
        <v>11</v>
      </c>
      <c r="AY8" s="1">
        <v>11</v>
      </c>
      <c r="AZ8" s="1">
        <v>15</v>
      </c>
      <c r="BA8" s="1">
        <v>18</v>
      </c>
      <c r="BB8" s="1">
        <v>21</v>
      </c>
      <c r="BC8" s="1">
        <v>21</v>
      </c>
      <c r="BD8">
        <v>36</v>
      </c>
      <c r="BE8">
        <v>49</v>
      </c>
      <c r="BF8">
        <v>57</v>
      </c>
      <c r="BG8">
        <v>71</v>
      </c>
      <c r="BH8">
        <v>94</v>
      </c>
      <c r="BI8">
        <v>121</v>
      </c>
      <c r="BJ8">
        <v>121</v>
      </c>
      <c r="BK8">
        <v>121</v>
      </c>
      <c r="BL8">
        <v>229</v>
      </c>
      <c r="BM8">
        <v>355</v>
      </c>
      <c r="BN8">
        <v>355</v>
      </c>
      <c r="BO8">
        <v>411</v>
      </c>
    </row>
    <row r="9" spans="1:67" x14ac:dyDescent="0.3">
      <c r="A9" s="1" t="s">
        <v>93</v>
      </c>
      <c r="B9" s="1" t="s">
        <v>42</v>
      </c>
      <c r="C9" s="1">
        <v>-31.950500000000002</v>
      </c>
      <c r="D9" s="1">
        <v>115.8605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2</v>
      </c>
      <c r="AR9" s="1">
        <v>2</v>
      </c>
      <c r="AS9" s="1">
        <v>2</v>
      </c>
      <c r="AT9" s="1">
        <v>2</v>
      </c>
      <c r="AU9" s="1">
        <v>2</v>
      </c>
      <c r="AV9" s="1">
        <v>3</v>
      </c>
      <c r="AW9" s="1">
        <v>3</v>
      </c>
      <c r="AX9" s="1">
        <v>3</v>
      </c>
      <c r="AY9" s="1">
        <v>3</v>
      </c>
      <c r="AZ9" s="1">
        <v>4</v>
      </c>
      <c r="BA9" s="1">
        <v>6</v>
      </c>
      <c r="BB9" s="1">
        <v>9</v>
      </c>
      <c r="BC9" s="1">
        <v>9</v>
      </c>
      <c r="BD9">
        <v>14</v>
      </c>
      <c r="BE9">
        <v>17</v>
      </c>
      <c r="BF9">
        <v>17</v>
      </c>
      <c r="BG9">
        <v>28</v>
      </c>
      <c r="BH9">
        <v>31</v>
      </c>
      <c r="BI9">
        <v>35</v>
      </c>
      <c r="BJ9">
        <v>52</v>
      </c>
      <c r="BK9">
        <v>64</v>
      </c>
      <c r="BL9">
        <v>90</v>
      </c>
      <c r="BM9">
        <v>120</v>
      </c>
      <c r="BN9">
        <v>140</v>
      </c>
      <c r="BO9">
        <v>175</v>
      </c>
    </row>
    <row r="10" spans="1:67" hidden="1" x14ac:dyDescent="0.3">
      <c r="A10" s="1" t="s">
        <v>138</v>
      </c>
      <c r="B10" s="1" t="s">
        <v>43</v>
      </c>
      <c r="C10" s="1">
        <v>53.933300000000003</v>
      </c>
      <c r="D10" s="1">
        <v>-116.5765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1</v>
      </c>
      <c r="AX10" s="1">
        <v>2</v>
      </c>
      <c r="AY10" s="1">
        <v>4</v>
      </c>
      <c r="AZ10" s="1">
        <v>7</v>
      </c>
      <c r="BA10" s="1">
        <v>7</v>
      </c>
      <c r="BB10" s="1">
        <v>19</v>
      </c>
      <c r="BC10" s="1">
        <v>19</v>
      </c>
      <c r="BD10">
        <v>29</v>
      </c>
      <c r="BE10">
        <v>29</v>
      </c>
      <c r="BF10">
        <v>39</v>
      </c>
      <c r="BG10">
        <v>56</v>
      </c>
      <c r="BH10">
        <v>74</v>
      </c>
      <c r="BI10">
        <v>97</v>
      </c>
      <c r="BJ10">
        <v>119</v>
      </c>
      <c r="BK10">
        <v>146</v>
      </c>
      <c r="BL10">
        <v>195</v>
      </c>
      <c r="BM10">
        <v>259</v>
      </c>
      <c r="BN10">
        <v>301</v>
      </c>
      <c r="BO10">
        <v>359</v>
      </c>
    </row>
    <row r="11" spans="1:67" hidden="1" x14ac:dyDescent="0.3">
      <c r="A11" s="1" t="s">
        <v>48</v>
      </c>
      <c r="B11" s="1" t="s">
        <v>43</v>
      </c>
      <c r="C11" s="1">
        <v>49.282699999999998</v>
      </c>
      <c r="D11" s="1">
        <v>-123.1207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2</v>
      </c>
      <c r="T11" s="1">
        <v>2</v>
      </c>
      <c r="U11" s="1">
        <v>4</v>
      </c>
      <c r="V11" s="1">
        <v>4</v>
      </c>
      <c r="W11" s="1">
        <v>4</v>
      </c>
      <c r="X11" s="1">
        <v>4</v>
      </c>
      <c r="Y11" s="1">
        <v>4</v>
      </c>
      <c r="Z11" s="1">
        <v>4</v>
      </c>
      <c r="AA11" s="1">
        <v>4</v>
      </c>
      <c r="AB11" s="1">
        <v>4</v>
      </c>
      <c r="AC11" s="1">
        <v>4</v>
      </c>
      <c r="AD11" s="1">
        <v>4</v>
      </c>
      <c r="AE11" s="1">
        <v>5</v>
      </c>
      <c r="AF11" s="1">
        <v>5</v>
      </c>
      <c r="AG11" s="1">
        <v>5</v>
      </c>
      <c r="AH11" s="1">
        <v>5</v>
      </c>
      <c r="AI11" s="1">
        <v>6</v>
      </c>
      <c r="AJ11" s="1">
        <v>6</v>
      </c>
      <c r="AK11" s="1">
        <v>6</v>
      </c>
      <c r="AL11" s="1">
        <v>6</v>
      </c>
      <c r="AM11" s="1">
        <v>7</v>
      </c>
      <c r="AN11" s="1">
        <v>7</v>
      </c>
      <c r="AO11" s="1">
        <v>7</v>
      </c>
      <c r="AP11" s="1">
        <v>7</v>
      </c>
      <c r="AQ11" s="1">
        <v>8</v>
      </c>
      <c r="AR11" s="1">
        <v>8</v>
      </c>
      <c r="AS11" s="1">
        <v>8</v>
      </c>
      <c r="AT11" s="1">
        <v>9</v>
      </c>
      <c r="AU11" s="1">
        <v>12</v>
      </c>
      <c r="AV11" s="1">
        <v>13</v>
      </c>
      <c r="AW11" s="1">
        <v>21</v>
      </c>
      <c r="AX11" s="1">
        <v>21</v>
      </c>
      <c r="AY11" s="1">
        <v>27</v>
      </c>
      <c r="AZ11" s="1">
        <v>32</v>
      </c>
      <c r="BA11" s="1">
        <v>32</v>
      </c>
      <c r="BB11" s="1">
        <v>39</v>
      </c>
      <c r="BC11" s="1">
        <v>46</v>
      </c>
      <c r="BD11">
        <v>64</v>
      </c>
      <c r="BE11">
        <v>64</v>
      </c>
      <c r="BF11">
        <v>73</v>
      </c>
      <c r="BG11">
        <v>103</v>
      </c>
      <c r="BH11">
        <v>103</v>
      </c>
      <c r="BI11">
        <v>186</v>
      </c>
      <c r="BJ11">
        <v>231</v>
      </c>
      <c r="BK11">
        <v>271</v>
      </c>
      <c r="BL11">
        <v>424</v>
      </c>
      <c r="BM11">
        <v>424</v>
      </c>
      <c r="BN11">
        <v>472</v>
      </c>
      <c r="BO11">
        <v>617</v>
      </c>
    </row>
    <row r="12" spans="1:67" hidden="1" x14ac:dyDescent="0.3">
      <c r="A12" s="1" t="s">
        <v>144</v>
      </c>
      <c r="B12" s="1" t="s">
        <v>43</v>
      </c>
      <c r="C12" s="1">
        <v>37.648899999999998</v>
      </c>
      <c r="D12" s="1">
        <v>-122.66549999999999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>
        <v>2</v>
      </c>
      <c r="BE12">
        <v>2</v>
      </c>
      <c r="BF12">
        <v>2</v>
      </c>
      <c r="BG12">
        <v>2</v>
      </c>
      <c r="BH12">
        <v>8</v>
      </c>
      <c r="BI12">
        <v>9</v>
      </c>
      <c r="BJ12">
        <v>9</v>
      </c>
      <c r="BK12">
        <v>10</v>
      </c>
      <c r="BL12">
        <v>10</v>
      </c>
      <c r="BM12">
        <v>13</v>
      </c>
      <c r="BN12">
        <v>13</v>
      </c>
      <c r="BO12">
        <v>13</v>
      </c>
    </row>
    <row r="13" spans="1:67" hidden="1" x14ac:dyDescent="0.3">
      <c r="A13" s="1" t="s">
        <v>285</v>
      </c>
      <c r="B13" s="1" t="s">
        <v>43</v>
      </c>
      <c r="C13" s="1">
        <v>53.760899999999999</v>
      </c>
      <c r="D13" s="1">
        <v>-98.813900000000004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>
        <v>4</v>
      </c>
      <c r="BE13">
        <v>4</v>
      </c>
      <c r="BF13">
        <v>4</v>
      </c>
      <c r="BG13">
        <v>7</v>
      </c>
      <c r="BH13">
        <v>8</v>
      </c>
      <c r="BI13">
        <v>15</v>
      </c>
      <c r="BJ13">
        <v>17</v>
      </c>
      <c r="BK13">
        <v>17</v>
      </c>
      <c r="BL13">
        <v>18</v>
      </c>
      <c r="BM13">
        <v>20</v>
      </c>
      <c r="BN13">
        <v>20</v>
      </c>
      <c r="BO13">
        <v>21</v>
      </c>
    </row>
    <row r="14" spans="1:67" hidden="1" x14ac:dyDescent="0.3">
      <c r="A14" s="1" t="s">
        <v>213</v>
      </c>
      <c r="B14" s="1" t="s">
        <v>43</v>
      </c>
      <c r="C14" s="1">
        <v>46.565300000000001</v>
      </c>
      <c r="D14" s="1">
        <v>-66.4619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1</v>
      </c>
      <c r="BC14" s="1">
        <v>1</v>
      </c>
      <c r="BD14">
        <v>1</v>
      </c>
      <c r="BE14">
        <v>1</v>
      </c>
      <c r="BF14">
        <v>2</v>
      </c>
      <c r="BG14">
        <v>6</v>
      </c>
      <c r="BH14">
        <v>8</v>
      </c>
      <c r="BI14">
        <v>11</v>
      </c>
      <c r="BJ14">
        <v>11</v>
      </c>
      <c r="BK14">
        <v>11</v>
      </c>
      <c r="BL14">
        <v>17</v>
      </c>
      <c r="BM14">
        <v>17</v>
      </c>
      <c r="BN14">
        <v>17</v>
      </c>
      <c r="BO14">
        <v>18</v>
      </c>
    </row>
    <row r="15" spans="1:67" hidden="1" x14ac:dyDescent="0.3">
      <c r="A15" s="1" t="s">
        <v>309</v>
      </c>
      <c r="B15" s="1" t="s">
        <v>43</v>
      </c>
      <c r="C15" s="1">
        <v>53.1355</v>
      </c>
      <c r="D15" s="1">
        <v>-57.660400000000003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>
        <v>0</v>
      </c>
      <c r="BE15">
        <v>0</v>
      </c>
      <c r="BF15">
        <v>1</v>
      </c>
      <c r="BG15">
        <v>1</v>
      </c>
      <c r="BH15">
        <v>3</v>
      </c>
      <c r="BI15">
        <v>3</v>
      </c>
      <c r="BJ15">
        <v>3</v>
      </c>
      <c r="BK15">
        <v>4</v>
      </c>
      <c r="BL15">
        <v>6</v>
      </c>
      <c r="BM15">
        <v>9</v>
      </c>
      <c r="BN15">
        <v>24</v>
      </c>
      <c r="BO15">
        <v>35</v>
      </c>
    </row>
    <row r="16" spans="1:67" hidden="1" x14ac:dyDescent="0.3">
      <c r="A16" s="1" t="s">
        <v>316</v>
      </c>
      <c r="B16" s="1" t="s">
        <v>43</v>
      </c>
      <c r="C16" s="1">
        <v>44.682000000000002</v>
      </c>
      <c r="D16" s="1">
        <v>-63.744300000000003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>
        <v>0</v>
      </c>
      <c r="BE16">
        <v>0</v>
      </c>
      <c r="BF16">
        <v>0</v>
      </c>
      <c r="BG16">
        <v>5</v>
      </c>
      <c r="BH16">
        <v>7</v>
      </c>
      <c r="BI16">
        <v>12</v>
      </c>
      <c r="BJ16">
        <v>14</v>
      </c>
      <c r="BK16">
        <v>15</v>
      </c>
      <c r="BL16">
        <v>21</v>
      </c>
      <c r="BM16">
        <v>28</v>
      </c>
      <c r="BN16">
        <v>41</v>
      </c>
      <c r="BO16">
        <v>51</v>
      </c>
    </row>
    <row r="17" spans="1:67" hidden="1" x14ac:dyDescent="0.3">
      <c r="A17" s="1" t="s">
        <v>137</v>
      </c>
      <c r="B17" s="1" t="s">
        <v>43</v>
      </c>
      <c r="C17" s="1">
        <v>51.253799999999998</v>
      </c>
      <c r="D17" s="1">
        <v>-85.3232</v>
      </c>
      <c r="E17" s="1">
        <v>0</v>
      </c>
      <c r="F17" s="1">
        <v>0</v>
      </c>
      <c r="G17" s="1">
        <v>0</v>
      </c>
      <c r="H17" s="1">
        <v>0</v>
      </c>
      <c r="I17" s="1">
        <v>1</v>
      </c>
      <c r="J17" s="1">
        <v>1</v>
      </c>
      <c r="K17" s="1">
        <v>1</v>
      </c>
      <c r="L17" s="1">
        <v>1</v>
      </c>
      <c r="M17" s="1">
        <v>1</v>
      </c>
      <c r="N17" s="1">
        <v>3</v>
      </c>
      <c r="O17" s="1">
        <v>3</v>
      </c>
      <c r="P17" s="1">
        <v>3</v>
      </c>
      <c r="Q17" s="1">
        <v>3</v>
      </c>
      <c r="R17" s="1">
        <v>3</v>
      </c>
      <c r="S17" s="1">
        <v>3</v>
      </c>
      <c r="T17" s="1">
        <v>3</v>
      </c>
      <c r="U17" s="1">
        <v>3</v>
      </c>
      <c r="V17" s="1">
        <v>3</v>
      </c>
      <c r="W17" s="1">
        <v>3</v>
      </c>
      <c r="X17" s="1">
        <v>3</v>
      </c>
      <c r="Y17" s="1">
        <v>3</v>
      </c>
      <c r="Z17" s="1">
        <v>3</v>
      </c>
      <c r="AA17" s="1">
        <v>3</v>
      </c>
      <c r="AB17" s="1">
        <v>3</v>
      </c>
      <c r="AC17" s="1">
        <v>3</v>
      </c>
      <c r="AD17" s="1">
        <v>3</v>
      </c>
      <c r="AE17" s="1">
        <v>3</v>
      </c>
      <c r="AF17" s="1">
        <v>3</v>
      </c>
      <c r="AG17" s="1">
        <v>3</v>
      </c>
      <c r="AH17" s="1">
        <v>3</v>
      </c>
      <c r="AI17" s="1">
        <v>3</v>
      </c>
      <c r="AJ17" s="1">
        <v>3</v>
      </c>
      <c r="AK17" s="1">
        <v>3</v>
      </c>
      <c r="AL17" s="1">
        <v>4</v>
      </c>
      <c r="AM17" s="1">
        <v>4</v>
      </c>
      <c r="AN17" s="1">
        <v>4</v>
      </c>
      <c r="AO17" s="1">
        <v>6</v>
      </c>
      <c r="AP17" s="1">
        <v>6</v>
      </c>
      <c r="AQ17" s="1">
        <v>11</v>
      </c>
      <c r="AR17" s="1">
        <v>15</v>
      </c>
      <c r="AS17" s="1">
        <v>18</v>
      </c>
      <c r="AT17" s="1">
        <v>20</v>
      </c>
      <c r="AU17" s="1">
        <v>20</v>
      </c>
      <c r="AV17" s="1">
        <v>22</v>
      </c>
      <c r="AW17" s="1">
        <v>25</v>
      </c>
      <c r="AX17" s="1">
        <v>28</v>
      </c>
      <c r="AY17" s="1">
        <v>29</v>
      </c>
      <c r="AZ17" s="1">
        <v>34</v>
      </c>
      <c r="BA17" s="1">
        <v>36</v>
      </c>
      <c r="BB17" s="1">
        <v>41</v>
      </c>
      <c r="BC17" s="1">
        <v>42</v>
      </c>
      <c r="BD17">
        <v>74</v>
      </c>
      <c r="BE17">
        <v>79</v>
      </c>
      <c r="BF17">
        <v>104</v>
      </c>
      <c r="BG17">
        <v>177</v>
      </c>
      <c r="BH17">
        <v>185</v>
      </c>
      <c r="BI17">
        <v>221</v>
      </c>
      <c r="BJ17">
        <v>257</v>
      </c>
      <c r="BK17">
        <v>308</v>
      </c>
      <c r="BL17">
        <v>377</v>
      </c>
      <c r="BM17">
        <v>425</v>
      </c>
      <c r="BN17">
        <v>503</v>
      </c>
      <c r="BO17">
        <v>588</v>
      </c>
    </row>
    <row r="18" spans="1:67" hidden="1" x14ac:dyDescent="0.3">
      <c r="A18" s="1" t="s">
        <v>310</v>
      </c>
      <c r="B18" s="1" t="s">
        <v>43</v>
      </c>
      <c r="C18" s="1">
        <v>46.5107</v>
      </c>
      <c r="D18" s="1">
        <v>-63.416800000000002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>
        <v>0</v>
      </c>
      <c r="BE18">
        <v>0</v>
      </c>
      <c r="BF18">
        <v>1</v>
      </c>
      <c r="BG18">
        <v>1</v>
      </c>
      <c r="BH18">
        <v>1</v>
      </c>
      <c r="BI18">
        <v>1</v>
      </c>
      <c r="BJ18">
        <v>2</v>
      </c>
      <c r="BK18">
        <v>2</v>
      </c>
      <c r="BL18">
        <v>2</v>
      </c>
      <c r="BM18">
        <v>3</v>
      </c>
      <c r="BN18">
        <v>3</v>
      </c>
      <c r="BO18">
        <v>3</v>
      </c>
    </row>
    <row r="19" spans="1:67" hidden="1" x14ac:dyDescent="0.3">
      <c r="A19" s="1" t="s">
        <v>142</v>
      </c>
      <c r="B19" s="1" t="s">
        <v>43</v>
      </c>
      <c r="C19" s="1">
        <v>52.939900000000002</v>
      </c>
      <c r="D19" s="1">
        <v>-73.549099999999996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1</v>
      </c>
      <c r="AQ19" s="1">
        <v>1</v>
      </c>
      <c r="AR19" s="1">
        <v>1</v>
      </c>
      <c r="AS19" s="1">
        <v>1</v>
      </c>
      <c r="AT19" s="1">
        <v>1</v>
      </c>
      <c r="AU19" s="1">
        <v>1</v>
      </c>
      <c r="AV19" s="1">
        <v>2</v>
      </c>
      <c r="AW19" s="1">
        <v>2</v>
      </c>
      <c r="AX19" s="1">
        <v>3</v>
      </c>
      <c r="AY19" s="1">
        <v>4</v>
      </c>
      <c r="AZ19" s="1">
        <v>4</v>
      </c>
      <c r="BA19" s="1">
        <v>4</v>
      </c>
      <c r="BB19" s="1">
        <v>8</v>
      </c>
      <c r="BC19" s="1">
        <v>9</v>
      </c>
      <c r="BD19">
        <v>17</v>
      </c>
      <c r="BE19">
        <v>17</v>
      </c>
      <c r="BF19">
        <v>24</v>
      </c>
      <c r="BG19">
        <v>50</v>
      </c>
      <c r="BH19">
        <v>74</v>
      </c>
      <c r="BI19">
        <v>94</v>
      </c>
      <c r="BJ19">
        <v>121</v>
      </c>
      <c r="BK19">
        <v>139</v>
      </c>
      <c r="BL19">
        <v>181</v>
      </c>
      <c r="BM19">
        <v>219</v>
      </c>
      <c r="BN19">
        <v>628</v>
      </c>
      <c r="BO19">
        <v>1013</v>
      </c>
    </row>
    <row r="20" spans="1:67" hidden="1" x14ac:dyDescent="0.3">
      <c r="A20" s="1" t="s">
        <v>286</v>
      </c>
      <c r="B20" s="1" t="s">
        <v>43</v>
      </c>
      <c r="C20" s="1">
        <v>52.939900000000002</v>
      </c>
      <c r="D20" s="1">
        <v>-106.4509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>
        <v>2</v>
      </c>
      <c r="BE20">
        <v>2</v>
      </c>
      <c r="BF20">
        <v>2</v>
      </c>
      <c r="BG20">
        <v>7</v>
      </c>
      <c r="BH20">
        <v>7</v>
      </c>
      <c r="BI20">
        <v>8</v>
      </c>
      <c r="BJ20">
        <v>16</v>
      </c>
      <c r="BK20">
        <v>20</v>
      </c>
      <c r="BL20">
        <v>26</v>
      </c>
      <c r="BM20">
        <v>52</v>
      </c>
      <c r="BN20">
        <v>66</v>
      </c>
      <c r="BO20">
        <v>72</v>
      </c>
    </row>
    <row r="21" spans="1:67" hidden="1" x14ac:dyDescent="0.3">
      <c r="A21" s="1" t="s">
        <v>143</v>
      </c>
      <c r="B21" s="1" t="s">
        <v>43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</row>
    <row r="22" spans="1:67" hidden="1" x14ac:dyDescent="0.3">
      <c r="A22" s="1" t="s">
        <v>670</v>
      </c>
      <c r="B22" s="1" t="s">
        <v>43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</row>
    <row r="23" spans="1:67" hidden="1" x14ac:dyDescent="0.3">
      <c r="A23" s="1" t="s">
        <v>4</v>
      </c>
      <c r="B23" s="1" t="s">
        <v>202</v>
      </c>
      <c r="C23" s="1">
        <v>31.825700000000001</v>
      </c>
      <c r="D23" s="1">
        <v>117.2264</v>
      </c>
      <c r="E23" s="1">
        <v>1</v>
      </c>
      <c r="F23" s="1">
        <v>9</v>
      </c>
      <c r="G23" s="1">
        <v>15</v>
      </c>
      <c r="H23" s="1">
        <v>39</v>
      </c>
      <c r="I23" s="1">
        <v>60</v>
      </c>
      <c r="J23" s="1">
        <v>70</v>
      </c>
      <c r="K23" s="1">
        <v>106</v>
      </c>
      <c r="L23" s="1">
        <v>152</v>
      </c>
      <c r="M23" s="1">
        <v>200</v>
      </c>
      <c r="N23" s="1">
        <v>237</v>
      </c>
      <c r="O23" s="1">
        <v>297</v>
      </c>
      <c r="P23" s="1">
        <v>340</v>
      </c>
      <c r="Q23" s="1">
        <v>408</v>
      </c>
      <c r="R23" s="1">
        <v>480</v>
      </c>
      <c r="S23" s="1">
        <v>530</v>
      </c>
      <c r="T23" s="1">
        <v>591</v>
      </c>
      <c r="U23" s="1">
        <v>665</v>
      </c>
      <c r="V23" s="1">
        <v>733</v>
      </c>
      <c r="W23" s="1">
        <v>779</v>
      </c>
      <c r="X23" s="1">
        <v>830</v>
      </c>
      <c r="Y23" s="1">
        <v>860</v>
      </c>
      <c r="Z23" s="1">
        <v>889</v>
      </c>
      <c r="AA23" s="1">
        <v>910</v>
      </c>
      <c r="AB23" s="1">
        <v>934</v>
      </c>
      <c r="AC23" s="1">
        <v>950</v>
      </c>
      <c r="AD23" s="1">
        <v>962</v>
      </c>
      <c r="AE23" s="1">
        <v>973</v>
      </c>
      <c r="AF23" s="1">
        <v>982</v>
      </c>
      <c r="AG23" s="1">
        <v>986</v>
      </c>
      <c r="AH23" s="1">
        <v>987</v>
      </c>
      <c r="AI23" s="1">
        <v>988</v>
      </c>
      <c r="AJ23" s="1">
        <v>989</v>
      </c>
      <c r="AK23" s="1">
        <v>989</v>
      </c>
      <c r="AL23" s="1">
        <v>989</v>
      </c>
      <c r="AM23" s="1">
        <v>989</v>
      </c>
      <c r="AN23" s="1">
        <v>989</v>
      </c>
      <c r="AO23" s="1">
        <v>989</v>
      </c>
      <c r="AP23" s="1">
        <v>990</v>
      </c>
      <c r="AQ23" s="1">
        <v>990</v>
      </c>
      <c r="AR23" s="1">
        <v>990</v>
      </c>
      <c r="AS23" s="1">
        <v>990</v>
      </c>
      <c r="AT23" s="1">
        <v>990</v>
      </c>
      <c r="AU23" s="1">
        <v>990</v>
      </c>
      <c r="AV23" s="1">
        <v>990</v>
      </c>
      <c r="AW23" s="1">
        <v>990</v>
      </c>
      <c r="AX23" s="1">
        <v>990</v>
      </c>
      <c r="AY23" s="1">
        <v>990</v>
      </c>
      <c r="AZ23" s="1">
        <v>990</v>
      </c>
      <c r="BA23" s="1">
        <v>990</v>
      </c>
      <c r="BB23" s="1">
        <v>990</v>
      </c>
      <c r="BC23" s="1">
        <v>990</v>
      </c>
      <c r="BD23">
        <v>990</v>
      </c>
      <c r="BE23">
        <v>990</v>
      </c>
      <c r="BF23">
        <v>990</v>
      </c>
      <c r="BG23">
        <v>990</v>
      </c>
      <c r="BH23">
        <v>990</v>
      </c>
      <c r="BI23">
        <v>990</v>
      </c>
      <c r="BJ23">
        <v>990</v>
      </c>
      <c r="BK23">
        <v>990</v>
      </c>
      <c r="BL23">
        <v>990</v>
      </c>
      <c r="BM23">
        <v>990</v>
      </c>
      <c r="BN23">
        <v>990</v>
      </c>
      <c r="BO23">
        <v>990</v>
      </c>
    </row>
    <row r="24" spans="1:67" hidden="1" x14ac:dyDescent="0.3">
      <c r="A24" s="1" t="s">
        <v>5</v>
      </c>
      <c r="B24" s="1" t="s">
        <v>202</v>
      </c>
      <c r="C24" s="1">
        <v>40.182400000000001</v>
      </c>
      <c r="D24" s="1">
        <v>116.41419999999999</v>
      </c>
      <c r="E24" s="1">
        <v>14</v>
      </c>
      <c r="F24" s="1">
        <v>22</v>
      </c>
      <c r="G24" s="1">
        <v>36</v>
      </c>
      <c r="H24" s="1">
        <v>41</v>
      </c>
      <c r="I24" s="1">
        <v>68</v>
      </c>
      <c r="J24" s="1">
        <v>80</v>
      </c>
      <c r="K24" s="1">
        <v>91</v>
      </c>
      <c r="L24" s="1">
        <v>111</v>
      </c>
      <c r="M24" s="1">
        <v>114</v>
      </c>
      <c r="N24" s="1">
        <v>139</v>
      </c>
      <c r="O24" s="1">
        <v>168</v>
      </c>
      <c r="P24" s="1">
        <v>191</v>
      </c>
      <c r="Q24" s="1">
        <v>212</v>
      </c>
      <c r="R24" s="1">
        <v>228</v>
      </c>
      <c r="S24" s="1">
        <v>253</v>
      </c>
      <c r="T24" s="1">
        <v>274</v>
      </c>
      <c r="U24" s="1">
        <v>297</v>
      </c>
      <c r="V24" s="1">
        <v>315</v>
      </c>
      <c r="W24" s="1">
        <v>326</v>
      </c>
      <c r="X24" s="1">
        <v>337</v>
      </c>
      <c r="Y24" s="1">
        <v>342</v>
      </c>
      <c r="Z24" s="1">
        <v>352</v>
      </c>
      <c r="AA24" s="1">
        <v>366</v>
      </c>
      <c r="AB24" s="1">
        <v>372</v>
      </c>
      <c r="AC24" s="1">
        <v>375</v>
      </c>
      <c r="AD24" s="1">
        <v>380</v>
      </c>
      <c r="AE24" s="1">
        <v>381</v>
      </c>
      <c r="AF24" s="1">
        <v>387</v>
      </c>
      <c r="AG24" s="1">
        <v>393</v>
      </c>
      <c r="AH24" s="1">
        <v>395</v>
      </c>
      <c r="AI24" s="1">
        <v>396</v>
      </c>
      <c r="AJ24" s="1">
        <v>399</v>
      </c>
      <c r="AK24" s="1">
        <v>399</v>
      </c>
      <c r="AL24" s="1">
        <v>399</v>
      </c>
      <c r="AM24" s="1">
        <v>400</v>
      </c>
      <c r="AN24" s="1">
        <v>400</v>
      </c>
      <c r="AO24" s="1">
        <v>410</v>
      </c>
      <c r="AP24" s="1">
        <v>410</v>
      </c>
      <c r="AQ24" s="1">
        <v>411</v>
      </c>
      <c r="AR24" s="1">
        <v>413</v>
      </c>
      <c r="AS24" s="1">
        <v>414</v>
      </c>
      <c r="AT24" s="1">
        <v>414</v>
      </c>
      <c r="AU24" s="1">
        <v>418</v>
      </c>
      <c r="AV24" s="1">
        <v>418</v>
      </c>
      <c r="AW24" s="1">
        <v>422</v>
      </c>
      <c r="AX24" s="1">
        <v>426</v>
      </c>
      <c r="AY24" s="1">
        <v>428</v>
      </c>
      <c r="AZ24" s="1">
        <v>428</v>
      </c>
      <c r="BA24" s="1">
        <v>429</v>
      </c>
      <c r="BB24" s="1">
        <v>435</v>
      </c>
      <c r="BC24" s="1">
        <v>435</v>
      </c>
      <c r="BD24">
        <v>436</v>
      </c>
      <c r="BE24">
        <v>437</v>
      </c>
      <c r="BF24">
        <v>442</v>
      </c>
      <c r="BG24">
        <v>452</v>
      </c>
      <c r="BH24">
        <v>456</v>
      </c>
      <c r="BI24">
        <v>469</v>
      </c>
      <c r="BJ24">
        <v>480</v>
      </c>
      <c r="BK24">
        <v>491</v>
      </c>
      <c r="BL24">
        <v>504</v>
      </c>
      <c r="BM24">
        <v>522</v>
      </c>
      <c r="BN24">
        <v>537</v>
      </c>
      <c r="BO24">
        <v>558</v>
      </c>
    </row>
    <row r="25" spans="1:67" hidden="1" x14ac:dyDescent="0.3">
      <c r="A25" s="1" t="s">
        <v>6</v>
      </c>
      <c r="B25" s="1" t="s">
        <v>202</v>
      </c>
      <c r="C25" s="1">
        <v>30.057200000000002</v>
      </c>
      <c r="D25" s="1">
        <v>107.874</v>
      </c>
      <c r="E25" s="1">
        <v>6</v>
      </c>
      <c r="F25" s="1">
        <v>9</v>
      </c>
      <c r="G25" s="1">
        <v>27</v>
      </c>
      <c r="H25" s="1">
        <v>57</v>
      </c>
      <c r="I25" s="1">
        <v>75</v>
      </c>
      <c r="J25" s="1">
        <v>110</v>
      </c>
      <c r="K25" s="1">
        <v>132</v>
      </c>
      <c r="L25" s="1">
        <v>147</v>
      </c>
      <c r="M25" s="1">
        <v>182</v>
      </c>
      <c r="N25" s="1">
        <v>211</v>
      </c>
      <c r="O25" s="1">
        <v>247</v>
      </c>
      <c r="P25" s="1">
        <v>300</v>
      </c>
      <c r="Q25" s="1">
        <v>337</v>
      </c>
      <c r="R25" s="1">
        <v>366</v>
      </c>
      <c r="S25" s="1">
        <v>389</v>
      </c>
      <c r="T25" s="1">
        <v>411</v>
      </c>
      <c r="U25" s="1">
        <v>426</v>
      </c>
      <c r="V25" s="1">
        <v>428</v>
      </c>
      <c r="W25" s="1">
        <v>468</v>
      </c>
      <c r="X25" s="1">
        <v>486</v>
      </c>
      <c r="Y25" s="1">
        <v>505</v>
      </c>
      <c r="Z25" s="1">
        <v>518</v>
      </c>
      <c r="AA25" s="1">
        <v>529</v>
      </c>
      <c r="AB25" s="1">
        <v>537</v>
      </c>
      <c r="AC25" s="1">
        <v>544</v>
      </c>
      <c r="AD25" s="1">
        <v>551</v>
      </c>
      <c r="AE25" s="1">
        <v>553</v>
      </c>
      <c r="AF25" s="1">
        <v>555</v>
      </c>
      <c r="AG25" s="1">
        <v>560</v>
      </c>
      <c r="AH25" s="1">
        <v>567</v>
      </c>
      <c r="AI25" s="1">
        <v>572</v>
      </c>
      <c r="AJ25" s="1">
        <v>573</v>
      </c>
      <c r="AK25" s="1">
        <v>575</v>
      </c>
      <c r="AL25" s="1">
        <v>576</v>
      </c>
      <c r="AM25" s="1">
        <v>576</v>
      </c>
      <c r="AN25" s="1">
        <v>576</v>
      </c>
      <c r="AO25" s="1">
        <v>576</v>
      </c>
      <c r="AP25" s="1">
        <v>576</v>
      </c>
      <c r="AQ25" s="1">
        <v>576</v>
      </c>
      <c r="AR25" s="1">
        <v>576</v>
      </c>
      <c r="AS25" s="1">
        <v>576</v>
      </c>
      <c r="AT25" s="1">
        <v>576</v>
      </c>
      <c r="AU25" s="1">
        <v>576</v>
      </c>
      <c r="AV25" s="1">
        <v>576</v>
      </c>
      <c r="AW25" s="1">
        <v>576</v>
      </c>
      <c r="AX25" s="1">
        <v>576</v>
      </c>
      <c r="AY25" s="1">
        <v>576</v>
      </c>
      <c r="AZ25" s="1">
        <v>576</v>
      </c>
      <c r="BA25" s="1">
        <v>576</v>
      </c>
      <c r="BB25" s="1">
        <v>576</v>
      </c>
      <c r="BC25" s="1">
        <v>576</v>
      </c>
      <c r="BD25">
        <v>576</v>
      </c>
      <c r="BE25">
        <v>576</v>
      </c>
      <c r="BF25">
        <v>576</v>
      </c>
      <c r="BG25">
        <v>576</v>
      </c>
      <c r="BH25">
        <v>576</v>
      </c>
      <c r="BI25">
        <v>576</v>
      </c>
      <c r="BJ25">
        <v>576</v>
      </c>
      <c r="BK25">
        <v>576</v>
      </c>
      <c r="BL25">
        <v>576</v>
      </c>
      <c r="BM25">
        <v>577</v>
      </c>
      <c r="BN25">
        <v>578</v>
      </c>
      <c r="BO25">
        <v>578</v>
      </c>
    </row>
    <row r="26" spans="1:67" hidden="1" x14ac:dyDescent="0.3">
      <c r="A26" s="1" t="s">
        <v>7</v>
      </c>
      <c r="B26" s="1" t="s">
        <v>202</v>
      </c>
      <c r="C26" s="1">
        <v>26.078900000000001</v>
      </c>
      <c r="D26" s="1">
        <v>117.98739999999999</v>
      </c>
      <c r="E26" s="1">
        <v>1</v>
      </c>
      <c r="F26" s="1">
        <v>5</v>
      </c>
      <c r="G26" s="1">
        <v>10</v>
      </c>
      <c r="H26" s="1">
        <v>18</v>
      </c>
      <c r="I26" s="1">
        <v>35</v>
      </c>
      <c r="J26" s="1">
        <v>59</v>
      </c>
      <c r="K26" s="1">
        <v>80</v>
      </c>
      <c r="L26" s="1">
        <v>84</v>
      </c>
      <c r="M26" s="1">
        <v>101</v>
      </c>
      <c r="N26" s="1">
        <v>120</v>
      </c>
      <c r="O26" s="1">
        <v>144</v>
      </c>
      <c r="P26" s="1">
        <v>159</v>
      </c>
      <c r="Q26" s="1">
        <v>179</v>
      </c>
      <c r="R26" s="1">
        <v>194</v>
      </c>
      <c r="S26" s="1">
        <v>205</v>
      </c>
      <c r="T26" s="1">
        <v>215</v>
      </c>
      <c r="U26" s="1">
        <v>224</v>
      </c>
      <c r="V26" s="1">
        <v>239</v>
      </c>
      <c r="W26" s="1">
        <v>250</v>
      </c>
      <c r="X26" s="1">
        <v>261</v>
      </c>
      <c r="Y26" s="1">
        <v>267</v>
      </c>
      <c r="Z26" s="1">
        <v>272</v>
      </c>
      <c r="AA26" s="1">
        <v>279</v>
      </c>
      <c r="AB26" s="1">
        <v>281</v>
      </c>
      <c r="AC26" s="1">
        <v>285</v>
      </c>
      <c r="AD26" s="1">
        <v>287</v>
      </c>
      <c r="AE26" s="1">
        <v>290</v>
      </c>
      <c r="AF26" s="1">
        <v>292</v>
      </c>
      <c r="AG26" s="1">
        <v>293</v>
      </c>
      <c r="AH26" s="1">
        <v>293</v>
      </c>
      <c r="AI26" s="1">
        <v>293</v>
      </c>
      <c r="AJ26" s="1">
        <v>293</v>
      </c>
      <c r="AK26" s="1">
        <v>293</v>
      </c>
      <c r="AL26" s="1">
        <v>293</v>
      </c>
      <c r="AM26" s="1">
        <v>294</v>
      </c>
      <c r="AN26" s="1">
        <v>294</v>
      </c>
      <c r="AO26" s="1">
        <v>296</v>
      </c>
      <c r="AP26" s="1">
        <v>296</v>
      </c>
      <c r="AQ26" s="1">
        <v>296</v>
      </c>
      <c r="AR26" s="1">
        <v>296</v>
      </c>
      <c r="AS26" s="1">
        <v>296</v>
      </c>
      <c r="AT26" s="1">
        <v>296</v>
      </c>
      <c r="AU26" s="1">
        <v>296</v>
      </c>
      <c r="AV26" s="1">
        <v>296</v>
      </c>
      <c r="AW26" s="1">
        <v>296</v>
      </c>
      <c r="AX26" s="1">
        <v>296</v>
      </c>
      <c r="AY26" s="1">
        <v>296</v>
      </c>
      <c r="AZ26" s="1">
        <v>296</v>
      </c>
      <c r="BA26" s="1">
        <v>296</v>
      </c>
      <c r="BB26" s="1">
        <v>296</v>
      </c>
      <c r="BC26" s="1">
        <v>296</v>
      </c>
      <c r="BD26">
        <v>296</v>
      </c>
      <c r="BE26">
        <v>296</v>
      </c>
      <c r="BF26">
        <v>296</v>
      </c>
      <c r="BG26">
        <v>296</v>
      </c>
      <c r="BH26">
        <v>296</v>
      </c>
      <c r="BI26">
        <v>296</v>
      </c>
      <c r="BJ26">
        <v>296</v>
      </c>
      <c r="BK26">
        <v>299</v>
      </c>
      <c r="BL26">
        <v>303</v>
      </c>
      <c r="BM26">
        <v>313</v>
      </c>
      <c r="BN26">
        <v>313</v>
      </c>
      <c r="BO26">
        <v>318</v>
      </c>
    </row>
    <row r="27" spans="1:67" hidden="1" x14ac:dyDescent="0.3">
      <c r="A27" s="1" t="s">
        <v>30</v>
      </c>
      <c r="B27" s="1" t="s">
        <v>202</v>
      </c>
      <c r="C27" s="1">
        <v>37.809899999999999</v>
      </c>
      <c r="D27" s="1">
        <v>101.0583</v>
      </c>
      <c r="E27" s="1">
        <v>0</v>
      </c>
      <c r="F27" s="1">
        <v>2</v>
      </c>
      <c r="G27" s="1">
        <v>2</v>
      </c>
      <c r="H27" s="1">
        <v>4</v>
      </c>
      <c r="I27" s="1">
        <v>7</v>
      </c>
      <c r="J27" s="1">
        <v>14</v>
      </c>
      <c r="K27" s="1">
        <v>19</v>
      </c>
      <c r="L27" s="1">
        <v>24</v>
      </c>
      <c r="M27" s="1">
        <v>26</v>
      </c>
      <c r="N27" s="1">
        <v>29</v>
      </c>
      <c r="O27" s="1">
        <v>40</v>
      </c>
      <c r="P27" s="1">
        <v>51</v>
      </c>
      <c r="Q27" s="1">
        <v>55</v>
      </c>
      <c r="R27" s="1">
        <v>57</v>
      </c>
      <c r="S27" s="1">
        <v>62</v>
      </c>
      <c r="T27" s="1">
        <v>62</v>
      </c>
      <c r="U27" s="1">
        <v>67</v>
      </c>
      <c r="V27" s="1">
        <v>79</v>
      </c>
      <c r="W27" s="1">
        <v>83</v>
      </c>
      <c r="X27" s="1">
        <v>83</v>
      </c>
      <c r="Y27" s="1">
        <v>86</v>
      </c>
      <c r="Z27" s="1">
        <v>87</v>
      </c>
      <c r="AA27" s="1">
        <v>90</v>
      </c>
      <c r="AB27" s="1">
        <v>90</v>
      </c>
      <c r="AC27" s="1">
        <v>90</v>
      </c>
      <c r="AD27" s="1">
        <v>90</v>
      </c>
      <c r="AE27" s="1">
        <v>91</v>
      </c>
      <c r="AF27" s="1">
        <v>91</v>
      </c>
      <c r="AG27" s="1">
        <v>91</v>
      </c>
      <c r="AH27" s="1">
        <v>91</v>
      </c>
      <c r="AI27" s="1">
        <v>91</v>
      </c>
      <c r="AJ27" s="1">
        <v>91</v>
      </c>
      <c r="AK27" s="1">
        <v>91</v>
      </c>
      <c r="AL27" s="1">
        <v>91</v>
      </c>
      <c r="AM27" s="1">
        <v>91</v>
      </c>
      <c r="AN27" s="1">
        <v>91</v>
      </c>
      <c r="AO27" s="1">
        <v>91</v>
      </c>
      <c r="AP27" s="1">
        <v>91</v>
      </c>
      <c r="AQ27" s="1">
        <v>91</v>
      </c>
      <c r="AR27" s="1">
        <v>91</v>
      </c>
      <c r="AS27" s="1">
        <v>91</v>
      </c>
      <c r="AT27" s="1">
        <v>91</v>
      </c>
      <c r="AU27" s="1">
        <v>91</v>
      </c>
      <c r="AV27" s="1">
        <v>102</v>
      </c>
      <c r="AW27" s="1">
        <v>119</v>
      </c>
      <c r="AX27" s="1">
        <v>120</v>
      </c>
      <c r="AY27" s="1">
        <v>124</v>
      </c>
      <c r="AZ27" s="1">
        <v>124</v>
      </c>
      <c r="BA27" s="1">
        <v>125</v>
      </c>
      <c r="BB27" s="1">
        <v>127</v>
      </c>
      <c r="BC27" s="1">
        <v>127</v>
      </c>
      <c r="BD27">
        <v>127</v>
      </c>
      <c r="BE27">
        <v>129</v>
      </c>
      <c r="BF27">
        <v>133</v>
      </c>
      <c r="BG27">
        <v>133</v>
      </c>
      <c r="BH27">
        <v>133</v>
      </c>
      <c r="BI27">
        <v>133</v>
      </c>
      <c r="BJ27">
        <v>134</v>
      </c>
      <c r="BK27">
        <v>134</v>
      </c>
      <c r="BL27">
        <v>134</v>
      </c>
      <c r="BM27">
        <v>136</v>
      </c>
      <c r="BN27">
        <v>136</v>
      </c>
      <c r="BO27">
        <v>136</v>
      </c>
    </row>
    <row r="28" spans="1:67" hidden="1" x14ac:dyDescent="0.3">
      <c r="A28" s="1" t="s">
        <v>8</v>
      </c>
      <c r="B28" s="1" t="s">
        <v>202</v>
      </c>
      <c r="C28" s="1">
        <v>23.341699999999999</v>
      </c>
      <c r="D28" s="1">
        <v>113.42440000000001</v>
      </c>
      <c r="E28" s="1">
        <v>26</v>
      </c>
      <c r="F28" s="1">
        <v>32</v>
      </c>
      <c r="G28" s="1">
        <v>53</v>
      </c>
      <c r="H28" s="1">
        <v>78</v>
      </c>
      <c r="I28" s="1">
        <v>111</v>
      </c>
      <c r="J28" s="1">
        <v>151</v>
      </c>
      <c r="K28" s="1">
        <v>207</v>
      </c>
      <c r="L28" s="1">
        <v>277</v>
      </c>
      <c r="M28" s="1">
        <v>354</v>
      </c>
      <c r="N28" s="1">
        <v>436</v>
      </c>
      <c r="O28" s="1">
        <v>535</v>
      </c>
      <c r="P28" s="1">
        <v>632</v>
      </c>
      <c r="Q28" s="1">
        <v>725</v>
      </c>
      <c r="R28" s="1">
        <v>813</v>
      </c>
      <c r="S28" s="1">
        <v>895</v>
      </c>
      <c r="T28" s="1">
        <v>970</v>
      </c>
      <c r="U28" s="1">
        <v>1034</v>
      </c>
      <c r="V28" s="1">
        <v>1095</v>
      </c>
      <c r="W28" s="1">
        <v>1131</v>
      </c>
      <c r="X28" s="1">
        <v>1159</v>
      </c>
      <c r="Y28" s="1">
        <v>1177</v>
      </c>
      <c r="Z28" s="1">
        <v>1219</v>
      </c>
      <c r="AA28" s="1">
        <v>1241</v>
      </c>
      <c r="AB28" s="1">
        <v>1261</v>
      </c>
      <c r="AC28" s="1">
        <v>1294</v>
      </c>
      <c r="AD28" s="1">
        <v>1316</v>
      </c>
      <c r="AE28" s="1">
        <v>1322</v>
      </c>
      <c r="AF28" s="1">
        <v>1328</v>
      </c>
      <c r="AG28" s="1">
        <v>1331</v>
      </c>
      <c r="AH28" s="1">
        <v>1332</v>
      </c>
      <c r="AI28" s="1">
        <v>1333</v>
      </c>
      <c r="AJ28" s="1">
        <v>1339</v>
      </c>
      <c r="AK28" s="1">
        <v>1342</v>
      </c>
      <c r="AL28" s="1">
        <v>1345</v>
      </c>
      <c r="AM28" s="1">
        <v>1347</v>
      </c>
      <c r="AN28" s="1">
        <v>1347</v>
      </c>
      <c r="AO28" s="1">
        <v>1347</v>
      </c>
      <c r="AP28" s="1">
        <v>1348</v>
      </c>
      <c r="AQ28" s="1">
        <v>1349</v>
      </c>
      <c r="AR28" s="1">
        <v>1349</v>
      </c>
      <c r="AS28" s="1">
        <v>1350</v>
      </c>
      <c r="AT28" s="1">
        <v>1350</v>
      </c>
      <c r="AU28" s="1">
        <v>1350</v>
      </c>
      <c r="AV28" s="1">
        <v>1351</v>
      </c>
      <c r="AW28" s="1">
        <v>1352</v>
      </c>
      <c r="AX28" s="1">
        <v>1352</v>
      </c>
      <c r="AY28" s="1">
        <v>1352</v>
      </c>
      <c r="AZ28" s="1">
        <v>1352</v>
      </c>
      <c r="BA28" s="1">
        <v>1353</v>
      </c>
      <c r="BB28" s="1">
        <v>1356</v>
      </c>
      <c r="BC28" s="1">
        <v>1356</v>
      </c>
      <c r="BD28">
        <v>1356</v>
      </c>
      <c r="BE28">
        <v>1356</v>
      </c>
      <c r="BF28">
        <v>1360</v>
      </c>
      <c r="BG28">
        <v>1361</v>
      </c>
      <c r="BH28">
        <v>1364</v>
      </c>
      <c r="BI28">
        <v>1370</v>
      </c>
      <c r="BJ28">
        <v>1378</v>
      </c>
      <c r="BK28">
        <v>1395</v>
      </c>
      <c r="BL28">
        <v>1400</v>
      </c>
      <c r="BM28">
        <v>1413</v>
      </c>
      <c r="BN28">
        <v>1415</v>
      </c>
      <c r="BO28">
        <v>1428</v>
      </c>
    </row>
    <row r="29" spans="1:67" hidden="1" x14ac:dyDescent="0.3">
      <c r="A29" s="1" t="s">
        <v>9</v>
      </c>
      <c r="B29" s="1" t="s">
        <v>202</v>
      </c>
      <c r="C29" s="1">
        <v>23.829799999999999</v>
      </c>
      <c r="D29" s="1">
        <v>108.7881</v>
      </c>
      <c r="E29" s="1">
        <v>2</v>
      </c>
      <c r="F29" s="1">
        <v>5</v>
      </c>
      <c r="G29" s="1">
        <v>23</v>
      </c>
      <c r="H29" s="1">
        <v>23</v>
      </c>
      <c r="I29" s="1">
        <v>36</v>
      </c>
      <c r="J29" s="1">
        <v>46</v>
      </c>
      <c r="K29" s="1">
        <v>51</v>
      </c>
      <c r="L29" s="1">
        <v>58</v>
      </c>
      <c r="M29" s="1">
        <v>78</v>
      </c>
      <c r="N29" s="1">
        <v>87</v>
      </c>
      <c r="O29" s="1">
        <v>100</v>
      </c>
      <c r="P29" s="1">
        <v>111</v>
      </c>
      <c r="Q29" s="1">
        <v>127</v>
      </c>
      <c r="R29" s="1">
        <v>139</v>
      </c>
      <c r="S29" s="1">
        <v>150</v>
      </c>
      <c r="T29" s="1">
        <v>168</v>
      </c>
      <c r="U29" s="1">
        <v>172</v>
      </c>
      <c r="V29" s="1">
        <v>183</v>
      </c>
      <c r="W29" s="1">
        <v>195</v>
      </c>
      <c r="X29" s="1">
        <v>210</v>
      </c>
      <c r="Y29" s="1">
        <v>215</v>
      </c>
      <c r="Z29" s="1">
        <v>222</v>
      </c>
      <c r="AA29" s="1">
        <v>222</v>
      </c>
      <c r="AB29" s="1">
        <v>226</v>
      </c>
      <c r="AC29" s="1">
        <v>235</v>
      </c>
      <c r="AD29" s="1">
        <v>237</v>
      </c>
      <c r="AE29" s="1">
        <v>238</v>
      </c>
      <c r="AF29" s="1">
        <v>242</v>
      </c>
      <c r="AG29" s="1">
        <v>244</v>
      </c>
      <c r="AH29" s="1">
        <v>245</v>
      </c>
      <c r="AI29" s="1">
        <v>246</v>
      </c>
      <c r="AJ29" s="1">
        <v>249</v>
      </c>
      <c r="AK29" s="1">
        <v>249</v>
      </c>
      <c r="AL29" s="1">
        <v>251</v>
      </c>
      <c r="AM29" s="1">
        <v>252</v>
      </c>
      <c r="AN29" s="1">
        <v>252</v>
      </c>
      <c r="AO29" s="1">
        <v>252</v>
      </c>
      <c r="AP29" s="1">
        <v>252</v>
      </c>
      <c r="AQ29" s="1">
        <v>252</v>
      </c>
      <c r="AR29" s="1">
        <v>252</v>
      </c>
      <c r="AS29" s="1">
        <v>252</v>
      </c>
      <c r="AT29" s="1">
        <v>252</v>
      </c>
      <c r="AU29" s="1">
        <v>252</v>
      </c>
      <c r="AV29" s="1">
        <v>252</v>
      </c>
      <c r="AW29" s="1">
        <v>252</v>
      </c>
      <c r="AX29" s="1">
        <v>252</v>
      </c>
      <c r="AY29" s="1">
        <v>252</v>
      </c>
      <c r="AZ29" s="1">
        <v>252</v>
      </c>
      <c r="BA29" s="1">
        <v>252</v>
      </c>
      <c r="BB29" s="1">
        <v>252</v>
      </c>
      <c r="BC29" s="1">
        <v>252</v>
      </c>
      <c r="BD29">
        <v>252</v>
      </c>
      <c r="BE29">
        <v>252</v>
      </c>
      <c r="BF29">
        <v>252</v>
      </c>
      <c r="BG29">
        <v>252</v>
      </c>
      <c r="BH29">
        <v>253</v>
      </c>
      <c r="BI29">
        <v>253</v>
      </c>
      <c r="BJ29">
        <v>253</v>
      </c>
      <c r="BK29">
        <v>254</v>
      </c>
      <c r="BL29">
        <v>254</v>
      </c>
      <c r="BM29">
        <v>254</v>
      </c>
      <c r="BN29">
        <v>254</v>
      </c>
      <c r="BO29">
        <v>254</v>
      </c>
    </row>
    <row r="30" spans="1:67" hidden="1" x14ac:dyDescent="0.3">
      <c r="A30" s="1" t="s">
        <v>10</v>
      </c>
      <c r="B30" s="1" t="s">
        <v>202</v>
      </c>
      <c r="C30" s="1">
        <v>26.8154</v>
      </c>
      <c r="D30" s="1">
        <v>106.87479999999999</v>
      </c>
      <c r="E30" s="1">
        <v>1</v>
      </c>
      <c r="F30" s="1">
        <v>3</v>
      </c>
      <c r="G30" s="1">
        <v>3</v>
      </c>
      <c r="H30" s="1">
        <v>4</v>
      </c>
      <c r="I30" s="1">
        <v>5</v>
      </c>
      <c r="J30" s="1">
        <v>7</v>
      </c>
      <c r="K30" s="1">
        <v>9</v>
      </c>
      <c r="L30" s="1">
        <v>9</v>
      </c>
      <c r="M30" s="1">
        <v>12</v>
      </c>
      <c r="N30" s="1">
        <v>29</v>
      </c>
      <c r="O30" s="1">
        <v>29</v>
      </c>
      <c r="P30" s="1">
        <v>38</v>
      </c>
      <c r="Q30" s="1">
        <v>46</v>
      </c>
      <c r="R30" s="1">
        <v>58</v>
      </c>
      <c r="S30" s="1">
        <v>64</v>
      </c>
      <c r="T30" s="1">
        <v>71</v>
      </c>
      <c r="U30" s="1">
        <v>81</v>
      </c>
      <c r="V30" s="1">
        <v>89</v>
      </c>
      <c r="W30" s="1">
        <v>99</v>
      </c>
      <c r="X30" s="1">
        <v>109</v>
      </c>
      <c r="Y30" s="1">
        <v>127</v>
      </c>
      <c r="Z30" s="1">
        <v>133</v>
      </c>
      <c r="AA30" s="1">
        <v>135</v>
      </c>
      <c r="AB30" s="1">
        <v>140</v>
      </c>
      <c r="AC30" s="1">
        <v>143</v>
      </c>
      <c r="AD30" s="1">
        <v>144</v>
      </c>
      <c r="AE30" s="1">
        <v>146</v>
      </c>
      <c r="AF30" s="1">
        <v>146</v>
      </c>
      <c r="AG30" s="1">
        <v>146</v>
      </c>
      <c r="AH30" s="1">
        <v>146</v>
      </c>
      <c r="AI30" s="1">
        <v>146</v>
      </c>
      <c r="AJ30" s="1">
        <v>146</v>
      </c>
      <c r="AK30" s="1">
        <v>146</v>
      </c>
      <c r="AL30" s="1">
        <v>146</v>
      </c>
      <c r="AM30" s="1">
        <v>146</v>
      </c>
      <c r="AN30" s="1">
        <v>146</v>
      </c>
      <c r="AO30" s="1">
        <v>146</v>
      </c>
      <c r="AP30" s="1">
        <v>146</v>
      </c>
      <c r="AQ30" s="1">
        <v>146</v>
      </c>
      <c r="AR30" s="1">
        <v>146</v>
      </c>
      <c r="AS30" s="1">
        <v>146</v>
      </c>
      <c r="AT30" s="1">
        <v>146</v>
      </c>
      <c r="AU30" s="1">
        <v>146</v>
      </c>
      <c r="AV30" s="1">
        <v>146</v>
      </c>
      <c r="AW30" s="1">
        <v>146</v>
      </c>
      <c r="AX30" s="1">
        <v>146</v>
      </c>
      <c r="AY30" s="1">
        <v>146</v>
      </c>
      <c r="AZ30" s="1">
        <v>146</v>
      </c>
      <c r="BA30" s="1">
        <v>146</v>
      </c>
      <c r="BB30" s="1">
        <v>146</v>
      </c>
      <c r="BC30" s="1">
        <v>146</v>
      </c>
      <c r="BD30">
        <v>146</v>
      </c>
      <c r="BE30">
        <v>146</v>
      </c>
      <c r="BF30">
        <v>146</v>
      </c>
      <c r="BG30">
        <v>146</v>
      </c>
      <c r="BH30">
        <v>147</v>
      </c>
      <c r="BI30">
        <v>146</v>
      </c>
      <c r="BJ30">
        <v>146</v>
      </c>
      <c r="BK30">
        <v>146</v>
      </c>
      <c r="BL30">
        <v>146</v>
      </c>
      <c r="BM30">
        <v>146</v>
      </c>
      <c r="BN30">
        <v>146</v>
      </c>
      <c r="BO30">
        <v>146</v>
      </c>
    </row>
    <row r="31" spans="1:67" hidden="1" x14ac:dyDescent="0.3">
      <c r="A31" s="1" t="s">
        <v>11</v>
      </c>
      <c r="B31" s="1" t="s">
        <v>202</v>
      </c>
      <c r="C31" s="1">
        <v>19.195900000000002</v>
      </c>
      <c r="D31" s="1">
        <v>109.7453</v>
      </c>
      <c r="E31" s="1">
        <v>4</v>
      </c>
      <c r="F31" s="1">
        <v>5</v>
      </c>
      <c r="G31" s="1">
        <v>8</v>
      </c>
      <c r="H31" s="1">
        <v>19</v>
      </c>
      <c r="I31" s="1">
        <v>22</v>
      </c>
      <c r="J31" s="1">
        <v>33</v>
      </c>
      <c r="K31" s="1">
        <v>40</v>
      </c>
      <c r="L31" s="1">
        <v>43</v>
      </c>
      <c r="M31" s="1">
        <v>46</v>
      </c>
      <c r="N31" s="1">
        <v>52</v>
      </c>
      <c r="O31" s="1">
        <v>62</v>
      </c>
      <c r="P31" s="1">
        <v>64</v>
      </c>
      <c r="Q31" s="1">
        <v>72</v>
      </c>
      <c r="R31" s="1">
        <v>80</v>
      </c>
      <c r="S31" s="1">
        <v>99</v>
      </c>
      <c r="T31" s="1">
        <v>106</v>
      </c>
      <c r="U31" s="1">
        <v>117</v>
      </c>
      <c r="V31" s="1">
        <v>124</v>
      </c>
      <c r="W31" s="1">
        <v>131</v>
      </c>
      <c r="X31" s="1">
        <v>138</v>
      </c>
      <c r="Y31" s="1">
        <v>144</v>
      </c>
      <c r="Z31" s="1">
        <v>157</v>
      </c>
      <c r="AA31" s="1">
        <v>157</v>
      </c>
      <c r="AB31" s="1">
        <v>159</v>
      </c>
      <c r="AC31" s="1">
        <v>162</v>
      </c>
      <c r="AD31" s="1">
        <v>162</v>
      </c>
      <c r="AE31" s="1">
        <v>163</v>
      </c>
      <c r="AF31" s="1">
        <v>163</v>
      </c>
      <c r="AG31" s="1">
        <v>168</v>
      </c>
      <c r="AH31" s="1">
        <v>168</v>
      </c>
      <c r="AI31" s="1">
        <v>168</v>
      </c>
      <c r="AJ31" s="1">
        <v>168</v>
      </c>
      <c r="AK31" s="1">
        <v>168</v>
      </c>
      <c r="AL31" s="1">
        <v>168</v>
      </c>
      <c r="AM31" s="1">
        <v>168</v>
      </c>
      <c r="AN31" s="1">
        <v>168</v>
      </c>
      <c r="AO31" s="1">
        <v>168</v>
      </c>
      <c r="AP31" s="1">
        <v>168</v>
      </c>
      <c r="AQ31" s="1">
        <v>168</v>
      </c>
      <c r="AR31" s="1">
        <v>168</v>
      </c>
      <c r="AS31" s="1">
        <v>168</v>
      </c>
      <c r="AT31" s="1">
        <v>168</v>
      </c>
      <c r="AU31" s="1">
        <v>168</v>
      </c>
      <c r="AV31" s="1">
        <v>168</v>
      </c>
      <c r="AW31" s="1">
        <v>168</v>
      </c>
      <c r="AX31" s="1">
        <v>168</v>
      </c>
      <c r="AY31" s="1">
        <v>168</v>
      </c>
      <c r="AZ31" s="1">
        <v>168</v>
      </c>
      <c r="BA31" s="1">
        <v>168</v>
      </c>
      <c r="BB31" s="1">
        <v>168</v>
      </c>
      <c r="BC31" s="1">
        <v>168</v>
      </c>
      <c r="BD31">
        <v>168</v>
      </c>
      <c r="BE31">
        <v>168</v>
      </c>
      <c r="BF31">
        <v>168</v>
      </c>
      <c r="BG31">
        <v>168</v>
      </c>
      <c r="BH31">
        <v>168</v>
      </c>
      <c r="BI31">
        <v>168</v>
      </c>
      <c r="BJ31">
        <v>168</v>
      </c>
      <c r="BK31">
        <v>168</v>
      </c>
      <c r="BL31">
        <v>168</v>
      </c>
      <c r="BM31">
        <v>168</v>
      </c>
      <c r="BN31">
        <v>168</v>
      </c>
      <c r="BO31">
        <v>168</v>
      </c>
    </row>
    <row r="32" spans="1:67" hidden="1" x14ac:dyDescent="0.3">
      <c r="A32" s="1" t="s">
        <v>12</v>
      </c>
      <c r="B32" s="1" t="s">
        <v>202</v>
      </c>
      <c r="C32" s="1">
        <v>39.548999999999999</v>
      </c>
      <c r="D32" s="1">
        <v>116.1306</v>
      </c>
      <c r="E32" s="1">
        <v>1</v>
      </c>
      <c r="F32" s="1">
        <v>1</v>
      </c>
      <c r="G32" s="1">
        <v>2</v>
      </c>
      <c r="H32" s="1">
        <v>8</v>
      </c>
      <c r="I32" s="1">
        <v>13</v>
      </c>
      <c r="J32" s="1">
        <v>18</v>
      </c>
      <c r="K32" s="1">
        <v>33</v>
      </c>
      <c r="L32" s="1">
        <v>48</v>
      </c>
      <c r="M32" s="1">
        <v>65</v>
      </c>
      <c r="N32" s="1">
        <v>82</v>
      </c>
      <c r="O32" s="1">
        <v>96</v>
      </c>
      <c r="P32" s="1">
        <v>104</v>
      </c>
      <c r="Q32" s="1">
        <v>113</v>
      </c>
      <c r="R32" s="1">
        <v>126</v>
      </c>
      <c r="S32" s="1">
        <v>135</v>
      </c>
      <c r="T32" s="1">
        <v>157</v>
      </c>
      <c r="U32" s="1">
        <v>172</v>
      </c>
      <c r="V32" s="1">
        <v>195</v>
      </c>
      <c r="W32" s="1">
        <v>206</v>
      </c>
      <c r="X32" s="1">
        <v>218</v>
      </c>
      <c r="Y32" s="1">
        <v>239</v>
      </c>
      <c r="Z32" s="1">
        <v>251</v>
      </c>
      <c r="AA32" s="1">
        <v>265</v>
      </c>
      <c r="AB32" s="1">
        <v>283</v>
      </c>
      <c r="AC32" s="1">
        <v>291</v>
      </c>
      <c r="AD32" s="1">
        <v>300</v>
      </c>
      <c r="AE32" s="1">
        <v>301</v>
      </c>
      <c r="AF32" s="1">
        <v>306</v>
      </c>
      <c r="AG32" s="1">
        <v>306</v>
      </c>
      <c r="AH32" s="1">
        <v>307</v>
      </c>
      <c r="AI32" s="1">
        <v>308</v>
      </c>
      <c r="AJ32" s="1">
        <v>309</v>
      </c>
      <c r="AK32" s="1">
        <v>311</v>
      </c>
      <c r="AL32" s="1">
        <v>311</v>
      </c>
      <c r="AM32" s="1">
        <v>311</v>
      </c>
      <c r="AN32" s="1">
        <v>312</v>
      </c>
      <c r="AO32" s="1">
        <v>317</v>
      </c>
      <c r="AP32" s="1">
        <v>318</v>
      </c>
      <c r="AQ32" s="1">
        <v>318</v>
      </c>
      <c r="AR32" s="1">
        <v>318</v>
      </c>
      <c r="AS32" s="1">
        <v>318</v>
      </c>
      <c r="AT32" s="1">
        <v>318</v>
      </c>
      <c r="AU32" s="1">
        <v>318</v>
      </c>
      <c r="AV32" s="1">
        <v>318</v>
      </c>
      <c r="AW32" s="1">
        <v>318</v>
      </c>
      <c r="AX32" s="1">
        <v>318</v>
      </c>
      <c r="AY32" s="1">
        <v>318</v>
      </c>
      <c r="AZ32" s="1">
        <v>318</v>
      </c>
      <c r="BA32" s="1">
        <v>318</v>
      </c>
      <c r="BB32" s="1">
        <v>318</v>
      </c>
      <c r="BC32" s="1">
        <v>318</v>
      </c>
      <c r="BD32">
        <v>318</v>
      </c>
      <c r="BE32">
        <v>318</v>
      </c>
      <c r="BF32">
        <v>318</v>
      </c>
      <c r="BG32">
        <v>318</v>
      </c>
      <c r="BH32">
        <v>318</v>
      </c>
      <c r="BI32">
        <v>318</v>
      </c>
      <c r="BJ32">
        <v>318</v>
      </c>
      <c r="BK32">
        <v>318</v>
      </c>
      <c r="BL32">
        <v>318</v>
      </c>
      <c r="BM32">
        <v>319</v>
      </c>
      <c r="BN32">
        <v>319</v>
      </c>
      <c r="BO32">
        <v>319</v>
      </c>
    </row>
    <row r="33" spans="1:67" hidden="1" x14ac:dyDescent="0.3">
      <c r="A33" s="1" t="s">
        <v>31</v>
      </c>
      <c r="B33" s="1" t="s">
        <v>202</v>
      </c>
      <c r="C33" s="1">
        <v>47.862000000000002</v>
      </c>
      <c r="D33" s="1">
        <v>127.7615</v>
      </c>
      <c r="E33" s="1">
        <v>0</v>
      </c>
      <c r="F33" s="1">
        <v>2</v>
      </c>
      <c r="G33" s="1">
        <v>4</v>
      </c>
      <c r="H33" s="1">
        <v>9</v>
      </c>
      <c r="I33" s="1">
        <v>15</v>
      </c>
      <c r="J33" s="1">
        <v>21</v>
      </c>
      <c r="K33" s="1">
        <v>33</v>
      </c>
      <c r="L33" s="1">
        <v>38</v>
      </c>
      <c r="M33" s="1">
        <v>44</v>
      </c>
      <c r="N33" s="1">
        <v>59</v>
      </c>
      <c r="O33" s="1">
        <v>80</v>
      </c>
      <c r="P33" s="1">
        <v>95</v>
      </c>
      <c r="Q33" s="1">
        <v>121</v>
      </c>
      <c r="R33" s="1">
        <v>155</v>
      </c>
      <c r="S33" s="1">
        <v>190</v>
      </c>
      <c r="T33" s="1">
        <v>227</v>
      </c>
      <c r="U33" s="1">
        <v>277</v>
      </c>
      <c r="V33" s="1">
        <v>295</v>
      </c>
      <c r="W33" s="1">
        <v>307</v>
      </c>
      <c r="X33" s="1">
        <v>331</v>
      </c>
      <c r="Y33" s="1">
        <v>360</v>
      </c>
      <c r="Z33" s="1">
        <v>378</v>
      </c>
      <c r="AA33" s="1">
        <v>395</v>
      </c>
      <c r="AB33" s="1">
        <v>419</v>
      </c>
      <c r="AC33" s="1">
        <v>425</v>
      </c>
      <c r="AD33" s="1">
        <v>445</v>
      </c>
      <c r="AE33" s="1">
        <v>457</v>
      </c>
      <c r="AF33" s="1">
        <v>464</v>
      </c>
      <c r="AG33" s="1">
        <v>470</v>
      </c>
      <c r="AH33" s="1">
        <v>476</v>
      </c>
      <c r="AI33" s="1">
        <v>479</v>
      </c>
      <c r="AJ33" s="1">
        <v>479</v>
      </c>
      <c r="AK33" s="1">
        <v>480</v>
      </c>
      <c r="AL33" s="1">
        <v>480</v>
      </c>
      <c r="AM33" s="1">
        <v>480</v>
      </c>
      <c r="AN33" s="1">
        <v>480</v>
      </c>
      <c r="AO33" s="1">
        <v>480</v>
      </c>
      <c r="AP33" s="1">
        <v>480</v>
      </c>
      <c r="AQ33" s="1">
        <v>480</v>
      </c>
      <c r="AR33" s="1">
        <v>480</v>
      </c>
      <c r="AS33" s="1">
        <v>480</v>
      </c>
      <c r="AT33" s="1">
        <v>480</v>
      </c>
      <c r="AU33" s="1">
        <v>480</v>
      </c>
      <c r="AV33" s="1">
        <v>481</v>
      </c>
      <c r="AW33" s="1">
        <v>481</v>
      </c>
      <c r="AX33" s="1">
        <v>481</v>
      </c>
      <c r="AY33" s="1">
        <v>481</v>
      </c>
      <c r="AZ33" s="1">
        <v>481</v>
      </c>
      <c r="BA33" s="1">
        <v>481</v>
      </c>
      <c r="BB33" s="1">
        <v>482</v>
      </c>
      <c r="BC33" s="1">
        <v>482</v>
      </c>
      <c r="BD33">
        <v>482</v>
      </c>
      <c r="BE33">
        <v>482</v>
      </c>
      <c r="BF33">
        <v>482</v>
      </c>
      <c r="BG33">
        <v>482</v>
      </c>
      <c r="BH33">
        <v>482</v>
      </c>
      <c r="BI33">
        <v>482</v>
      </c>
      <c r="BJ33">
        <v>483</v>
      </c>
      <c r="BK33">
        <v>484</v>
      </c>
      <c r="BL33">
        <v>484</v>
      </c>
      <c r="BM33">
        <v>484</v>
      </c>
      <c r="BN33">
        <v>484</v>
      </c>
      <c r="BO33">
        <v>484</v>
      </c>
    </row>
    <row r="34" spans="1:67" hidden="1" x14ac:dyDescent="0.3">
      <c r="A34" s="1" t="s">
        <v>13</v>
      </c>
      <c r="B34" s="1" t="s">
        <v>202</v>
      </c>
      <c r="C34" s="1">
        <v>33.881999999999998</v>
      </c>
      <c r="D34" s="1">
        <v>113.614</v>
      </c>
      <c r="E34" s="1">
        <v>5</v>
      </c>
      <c r="F34" s="1">
        <v>5</v>
      </c>
      <c r="G34" s="1">
        <v>9</v>
      </c>
      <c r="H34" s="1">
        <v>32</v>
      </c>
      <c r="I34" s="1">
        <v>83</v>
      </c>
      <c r="J34" s="1">
        <v>128</v>
      </c>
      <c r="K34" s="1">
        <v>168</v>
      </c>
      <c r="L34" s="1">
        <v>206</v>
      </c>
      <c r="M34" s="1">
        <v>278</v>
      </c>
      <c r="N34" s="1">
        <v>352</v>
      </c>
      <c r="O34" s="1">
        <v>422</v>
      </c>
      <c r="P34" s="1">
        <v>493</v>
      </c>
      <c r="Q34" s="1">
        <v>566</v>
      </c>
      <c r="R34" s="1">
        <v>675</v>
      </c>
      <c r="S34" s="1">
        <v>764</v>
      </c>
      <c r="T34" s="1">
        <v>851</v>
      </c>
      <c r="U34" s="1">
        <v>914</v>
      </c>
      <c r="V34" s="1">
        <v>981</v>
      </c>
      <c r="W34" s="1">
        <v>1033</v>
      </c>
      <c r="X34" s="1">
        <v>1073</v>
      </c>
      <c r="Y34" s="1">
        <v>1105</v>
      </c>
      <c r="Z34" s="1">
        <v>1135</v>
      </c>
      <c r="AA34" s="1">
        <v>1169</v>
      </c>
      <c r="AB34" s="1">
        <v>1184</v>
      </c>
      <c r="AC34" s="1">
        <v>1212</v>
      </c>
      <c r="AD34" s="1">
        <v>1231</v>
      </c>
      <c r="AE34" s="1">
        <v>1246</v>
      </c>
      <c r="AF34" s="1">
        <v>1257</v>
      </c>
      <c r="AG34" s="1">
        <v>1262</v>
      </c>
      <c r="AH34" s="1">
        <v>1265</v>
      </c>
      <c r="AI34" s="1">
        <v>1267</v>
      </c>
      <c r="AJ34" s="1">
        <v>1270</v>
      </c>
      <c r="AK34" s="1">
        <v>1271</v>
      </c>
      <c r="AL34" s="1">
        <v>1271</v>
      </c>
      <c r="AM34" s="1">
        <v>1271</v>
      </c>
      <c r="AN34" s="1">
        <v>1271</v>
      </c>
      <c r="AO34" s="1">
        <v>1272</v>
      </c>
      <c r="AP34" s="1">
        <v>1272</v>
      </c>
      <c r="AQ34" s="1">
        <v>1272</v>
      </c>
      <c r="AR34" s="1">
        <v>1272</v>
      </c>
      <c r="AS34" s="1">
        <v>1272</v>
      </c>
      <c r="AT34" s="1">
        <v>1272</v>
      </c>
      <c r="AU34" s="1">
        <v>1272</v>
      </c>
      <c r="AV34" s="1">
        <v>1272</v>
      </c>
      <c r="AW34" s="1">
        <v>1272</v>
      </c>
      <c r="AX34" s="1">
        <v>1272</v>
      </c>
      <c r="AY34" s="1">
        <v>1272</v>
      </c>
      <c r="AZ34" s="1">
        <v>1272</v>
      </c>
      <c r="BA34" s="1">
        <v>1272</v>
      </c>
      <c r="BB34" s="1">
        <v>1273</v>
      </c>
      <c r="BC34" s="1">
        <v>1273</v>
      </c>
      <c r="BD34">
        <v>1273</v>
      </c>
      <c r="BE34">
        <v>1273</v>
      </c>
      <c r="BF34">
        <v>1273</v>
      </c>
      <c r="BG34">
        <v>1273</v>
      </c>
      <c r="BH34">
        <v>1273</v>
      </c>
      <c r="BI34">
        <v>1273</v>
      </c>
      <c r="BJ34">
        <v>1273</v>
      </c>
      <c r="BK34">
        <v>1273</v>
      </c>
      <c r="BL34">
        <v>1273</v>
      </c>
      <c r="BM34">
        <v>1274</v>
      </c>
      <c r="BN34">
        <v>1274</v>
      </c>
      <c r="BO34">
        <v>1274</v>
      </c>
    </row>
    <row r="35" spans="1:67" hidden="1" x14ac:dyDescent="0.3">
      <c r="A35" s="1" t="s">
        <v>32</v>
      </c>
      <c r="B35" s="1" t="s">
        <v>202</v>
      </c>
      <c r="C35" s="1">
        <v>22.3</v>
      </c>
      <c r="D35" s="1">
        <v>114.2</v>
      </c>
      <c r="E35" s="1">
        <v>0</v>
      </c>
      <c r="F35" s="1">
        <v>2</v>
      </c>
      <c r="G35" s="1">
        <v>2</v>
      </c>
      <c r="H35" s="1">
        <v>5</v>
      </c>
      <c r="I35" s="1">
        <v>8</v>
      </c>
      <c r="J35" s="1">
        <v>8</v>
      </c>
      <c r="K35" s="1">
        <v>8</v>
      </c>
      <c r="L35" s="1">
        <v>10</v>
      </c>
      <c r="M35" s="1">
        <v>10</v>
      </c>
      <c r="N35" s="1">
        <v>12</v>
      </c>
      <c r="O35" s="1">
        <v>13</v>
      </c>
      <c r="P35" s="1">
        <v>15</v>
      </c>
      <c r="Q35" s="1">
        <v>15</v>
      </c>
      <c r="R35" s="1">
        <v>17</v>
      </c>
      <c r="S35" s="1">
        <v>21</v>
      </c>
      <c r="T35" s="1">
        <v>24</v>
      </c>
      <c r="U35" s="1">
        <v>25</v>
      </c>
      <c r="V35" s="1">
        <v>26</v>
      </c>
      <c r="W35" s="1">
        <v>29</v>
      </c>
      <c r="X35" s="1">
        <v>38</v>
      </c>
      <c r="Y35" s="1">
        <v>49</v>
      </c>
      <c r="Z35" s="1">
        <v>50</v>
      </c>
      <c r="AA35" s="1">
        <v>53</v>
      </c>
      <c r="AB35" s="1">
        <v>56</v>
      </c>
      <c r="AC35" s="1">
        <v>56</v>
      </c>
      <c r="AD35" s="1">
        <v>57</v>
      </c>
      <c r="AE35" s="1">
        <v>60</v>
      </c>
      <c r="AF35" s="1">
        <v>62</v>
      </c>
      <c r="AG35" s="1">
        <v>63</v>
      </c>
      <c r="AH35" s="1">
        <v>68</v>
      </c>
      <c r="AI35" s="1">
        <v>68</v>
      </c>
      <c r="AJ35" s="1">
        <v>69</v>
      </c>
      <c r="AK35" s="1">
        <v>74</v>
      </c>
      <c r="AL35" s="1">
        <v>79</v>
      </c>
      <c r="AM35" s="1">
        <v>84</v>
      </c>
      <c r="AN35" s="1">
        <v>91</v>
      </c>
      <c r="AO35" s="1">
        <v>92</v>
      </c>
      <c r="AP35" s="1">
        <v>94</v>
      </c>
      <c r="AQ35" s="1">
        <v>95</v>
      </c>
      <c r="AR35" s="1">
        <v>96</v>
      </c>
      <c r="AS35" s="1">
        <v>100</v>
      </c>
      <c r="AT35" s="1">
        <v>100</v>
      </c>
      <c r="AU35" s="1">
        <v>105</v>
      </c>
      <c r="AV35" s="1">
        <v>105</v>
      </c>
      <c r="AW35" s="1">
        <v>107</v>
      </c>
      <c r="AX35" s="1">
        <v>108</v>
      </c>
      <c r="AY35" s="1">
        <v>114</v>
      </c>
      <c r="AZ35" s="1">
        <v>115</v>
      </c>
      <c r="BA35" s="1">
        <v>120</v>
      </c>
      <c r="BB35" s="1">
        <v>126</v>
      </c>
      <c r="BC35" s="1">
        <v>129</v>
      </c>
      <c r="BD35">
        <v>134</v>
      </c>
      <c r="BE35">
        <v>140</v>
      </c>
      <c r="BF35">
        <v>145</v>
      </c>
      <c r="BG35">
        <v>155</v>
      </c>
      <c r="BH35">
        <v>162</v>
      </c>
      <c r="BI35">
        <v>181</v>
      </c>
      <c r="BJ35">
        <v>208</v>
      </c>
      <c r="BK35">
        <v>256</v>
      </c>
      <c r="BL35">
        <v>273</v>
      </c>
      <c r="BM35">
        <v>317</v>
      </c>
      <c r="BN35">
        <v>356</v>
      </c>
      <c r="BO35">
        <v>386</v>
      </c>
    </row>
    <row r="36" spans="1:67" hidden="1" x14ac:dyDescent="0.3">
      <c r="A36" s="1" t="s">
        <v>14</v>
      </c>
      <c r="B36" s="1" t="s">
        <v>202</v>
      </c>
      <c r="C36" s="1">
        <v>30.9756</v>
      </c>
      <c r="D36" s="1">
        <v>112.27070000000001</v>
      </c>
      <c r="E36" s="1">
        <v>444</v>
      </c>
      <c r="F36" s="1">
        <v>444</v>
      </c>
      <c r="G36" s="1">
        <v>549</v>
      </c>
      <c r="H36" s="1">
        <v>761</v>
      </c>
      <c r="I36" s="1">
        <v>1058</v>
      </c>
      <c r="J36" s="1">
        <v>1423</v>
      </c>
      <c r="K36" s="1">
        <v>3554</v>
      </c>
      <c r="L36" s="1">
        <v>3554</v>
      </c>
      <c r="M36" s="1">
        <v>4903</v>
      </c>
      <c r="N36" s="1">
        <v>5806</v>
      </c>
      <c r="O36" s="1">
        <v>7153</v>
      </c>
      <c r="P36" s="1">
        <v>11177</v>
      </c>
      <c r="Q36" s="1">
        <v>13522</v>
      </c>
      <c r="R36" s="1">
        <v>16678</v>
      </c>
      <c r="S36" s="1">
        <v>19665</v>
      </c>
      <c r="T36" s="1">
        <v>22112</v>
      </c>
      <c r="U36" s="1">
        <v>24953</v>
      </c>
      <c r="V36" s="1">
        <v>27100</v>
      </c>
      <c r="W36" s="1">
        <v>29631</v>
      </c>
      <c r="X36" s="1">
        <v>31728</v>
      </c>
      <c r="Y36" s="1">
        <v>33366</v>
      </c>
      <c r="Z36" s="1">
        <v>33366</v>
      </c>
      <c r="AA36" s="1">
        <v>48206</v>
      </c>
      <c r="AB36" s="1">
        <v>54406</v>
      </c>
      <c r="AC36" s="1">
        <v>56249</v>
      </c>
      <c r="AD36" s="1">
        <v>58182</v>
      </c>
      <c r="AE36" s="1">
        <v>59989</v>
      </c>
      <c r="AF36" s="1">
        <v>61682</v>
      </c>
      <c r="AG36" s="1">
        <v>62031</v>
      </c>
      <c r="AH36" s="1">
        <v>62442</v>
      </c>
      <c r="AI36" s="1">
        <v>62662</v>
      </c>
      <c r="AJ36" s="1">
        <v>64084</v>
      </c>
      <c r="AK36" s="1">
        <v>64084</v>
      </c>
      <c r="AL36" s="1">
        <v>64287</v>
      </c>
      <c r="AM36" s="1">
        <v>64786</v>
      </c>
      <c r="AN36" s="1">
        <v>65187</v>
      </c>
      <c r="AO36" s="1">
        <v>65596</v>
      </c>
      <c r="AP36" s="1">
        <v>65914</v>
      </c>
      <c r="AQ36" s="1">
        <v>66337</v>
      </c>
      <c r="AR36" s="1">
        <v>66907</v>
      </c>
      <c r="AS36" s="1">
        <v>67103</v>
      </c>
      <c r="AT36" s="1">
        <v>67217</v>
      </c>
      <c r="AU36" s="1">
        <v>67332</v>
      </c>
      <c r="AV36" s="1">
        <v>67466</v>
      </c>
      <c r="AW36" s="1">
        <v>67592</v>
      </c>
      <c r="AX36" s="1">
        <v>67666</v>
      </c>
      <c r="AY36" s="1">
        <v>67707</v>
      </c>
      <c r="AZ36" s="1">
        <v>67743</v>
      </c>
      <c r="BA36" s="1">
        <v>67760</v>
      </c>
      <c r="BB36" s="1">
        <v>67773</v>
      </c>
      <c r="BC36" s="1">
        <v>67781</v>
      </c>
      <c r="BD36">
        <v>67786</v>
      </c>
      <c r="BE36">
        <v>67790</v>
      </c>
      <c r="BF36">
        <v>67794</v>
      </c>
      <c r="BG36">
        <v>67798</v>
      </c>
      <c r="BH36">
        <v>67799</v>
      </c>
      <c r="BI36">
        <v>67800</v>
      </c>
      <c r="BJ36">
        <v>67800</v>
      </c>
      <c r="BK36">
        <v>67800</v>
      </c>
      <c r="BL36">
        <v>67800</v>
      </c>
      <c r="BM36">
        <v>67800</v>
      </c>
      <c r="BN36">
        <v>67800</v>
      </c>
      <c r="BO36">
        <v>67801</v>
      </c>
    </row>
    <row r="37" spans="1:67" hidden="1" x14ac:dyDescent="0.3">
      <c r="A37" s="1" t="s">
        <v>15</v>
      </c>
      <c r="B37" s="1" t="s">
        <v>202</v>
      </c>
      <c r="C37" s="1">
        <v>27.610399999999998</v>
      </c>
      <c r="D37" s="1">
        <v>111.7088</v>
      </c>
      <c r="E37" s="1">
        <v>4</v>
      </c>
      <c r="F37" s="1">
        <v>9</v>
      </c>
      <c r="G37" s="1">
        <v>24</v>
      </c>
      <c r="H37" s="1">
        <v>43</v>
      </c>
      <c r="I37" s="1">
        <v>69</v>
      </c>
      <c r="J37" s="1">
        <v>100</v>
      </c>
      <c r="K37" s="1">
        <v>143</v>
      </c>
      <c r="L37" s="1">
        <v>221</v>
      </c>
      <c r="M37" s="1">
        <v>277</v>
      </c>
      <c r="N37" s="1">
        <v>332</v>
      </c>
      <c r="O37" s="1">
        <v>389</v>
      </c>
      <c r="P37" s="1">
        <v>463</v>
      </c>
      <c r="Q37" s="1">
        <v>521</v>
      </c>
      <c r="R37" s="1">
        <v>593</v>
      </c>
      <c r="S37" s="1">
        <v>661</v>
      </c>
      <c r="T37" s="1">
        <v>711</v>
      </c>
      <c r="U37" s="1">
        <v>772</v>
      </c>
      <c r="V37" s="1">
        <v>803</v>
      </c>
      <c r="W37" s="1">
        <v>838</v>
      </c>
      <c r="X37" s="1">
        <v>879</v>
      </c>
      <c r="Y37" s="1">
        <v>912</v>
      </c>
      <c r="Z37" s="1">
        <v>946</v>
      </c>
      <c r="AA37" s="1">
        <v>968</v>
      </c>
      <c r="AB37" s="1">
        <v>988</v>
      </c>
      <c r="AC37" s="1">
        <v>1001</v>
      </c>
      <c r="AD37" s="1">
        <v>1004</v>
      </c>
      <c r="AE37" s="1">
        <v>1006</v>
      </c>
      <c r="AF37" s="1">
        <v>1007</v>
      </c>
      <c r="AG37" s="1">
        <v>1008</v>
      </c>
      <c r="AH37" s="1">
        <v>1010</v>
      </c>
      <c r="AI37" s="1">
        <v>1011</v>
      </c>
      <c r="AJ37" s="1">
        <v>1013</v>
      </c>
      <c r="AK37" s="1">
        <v>1016</v>
      </c>
      <c r="AL37" s="1">
        <v>1016</v>
      </c>
      <c r="AM37" s="1">
        <v>1016</v>
      </c>
      <c r="AN37" s="1">
        <v>1016</v>
      </c>
      <c r="AO37" s="1">
        <v>1017</v>
      </c>
      <c r="AP37" s="1">
        <v>1017</v>
      </c>
      <c r="AQ37" s="1">
        <v>1018</v>
      </c>
      <c r="AR37" s="1">
        <v>1018</v>
      </c>
      <c r="AS37" s="1">
        <v>1018</v>
      </c>
      <c r="AT37" s="1">
        <v>1018</v>
      </c>
      <c r="AU37" s="1">
        <v>1018</v>
      </c>
      <c r="AV37" s="1">
        <v>1018</v>
      </c>
      <c r="AW37" s="1">
        <v>1018</v>
      </c>
      <c r="AX37" s="1">
        <v>1018</v>
      </c>
      <c r="AY37" s="1">
        <v>1018</v>
      </c>
      <c r="AZ37" s="1">
        <v>1018</v>
      </c>
      <c r="BA37" s="1">
        <v>1018</v>
      </c>
      <c r="BB37" s="1">
        <v>1018</v>
      </c>
      <c r="BC37" s="1">
        <v>1018</v>
      </c>
      <c r="BD37">
        <v>1018</v>
      </c>
      <c r="BE37">
        <v>1018</v>
      </c>
      <c r="BF37">
        <v>1018</v>
      </c>
      <c r="BG37">
        <v>1018</v>
      </c>
      <c r="BH37">
        <v>1018</v>
      </c>
      <c r="BI37">
        <v>1018</v>
      </c>
      <c r="BJ37">
        <v>1018</v>
      </c>
      <c r="BK37">
        <v>1018</v>
      </c>
      <c r="BL37">
        <v>1018</v>
      </c>
      <c r="BM37">
        <v>1018</v>
      </c>
      <c r="BN37">
        <v>1018</v>
      </c>
      <c r="BO37">
        <v>1018</v>
      </c>
    </row>
    <row r="38" spans="1:67" hidden="1" x14ac:dyDescent="0.3">
      <c r="A38" s="1" t="s">
        <v>37</v>
      </c>
      <c r="B38" s="1" t="s">
        <v>202</v>
      </c>
      <c r="C38" s="1">
        <v>44.093499999999999</v>
      </c>
      <c r="D38" s="1">
        <v>113.9448</v>
      </c>
      <c r="E38" s="1">
        <v>0</v>
      </c>
      <c r="F38" s="1">
        <v>0</v>
      </c>
      <c r="G38" s="1">
        <v>1</v>
      </c>
      <c r="H38" s="1">
        <v>7</v>
      </c>
      <c r="I38" s="1">
        <v>7</v>
      </c>
      <c r="J38" s="1">
        <v>11</v>
      </c>
      <c r="K38" s="1">
        <v>15</v>
      </c>
      <c r="L38" s="1">
        <v>16</v>
      </c>
      <c r="M38" s="1">
        <v>19</v>
      </c>
      <c r="N38" s="1">
        <v>20</v>
      </c>
      <c r="O38" s="1">
        <v>23</v>
      </c>
      <c r="P38" s="1">
        <v>27</v>
      </c>
      <c r="Q38" s="1">
        <v>34</v>
      </c>
      <c r="R38" s="1">
        <v>35</v>
      </c>
      <c r="S38" s="1">
        <v>42</v>
      </c>
      <c r="T38" s="1">
        <v>46</v>
      </c>
      <c r="U38" s="1">
        <v>50</v>
      </c>
      <c r="V38" s="1">
        <v>52</v>
      </c>
      <c r="W38" s="1">
        <v>54</v>
      </c>
      <c r="X38" s="1">
        <v>58</v>
      </c>
      <c r="Y38" s="1">
        <v>58</v>
      </c>
      <c r="Z38" s="1">
        <v>60</v>
      </c>
      <c r="AA38" s="1">
        <v>61</v>
      </c>
      <c r="AB38" s="1">
        <v>65</v>
      </c>
      <c r="AC38" s="1">
        <v>68</v>
      </c>
      <c r="AD38" s="1">
        <v>70</v>
      </c>
      <c r="AE38" s="1">
        <v>72</v>
      </c>
      <c r="AF38" s="1">
        <v>73</v>
      </c>
      <c r="AG38" s="1">
        <v>75</v>
      </c>
      <c r="AH38" s="1">
        <v>75</v>
      </c>
      <c r="AI38" s="1">
        <v>75</v>
      </c>
      <c r="AJ38" s="1">
        <v>75</v>
      </c>
      <c r="AK38" s="1">
        <v>75</v>
      </c>
      <c r="AL38" s="1">
        <v>75</v>
      </c>
      <c r="AM38" s="1">
        <v>75</v>
      </c>
      <c r="AN38" s="1">
        <v>75</v>
      </c>
      <c r="AO38" s="1">
        <v>75</v>
      </c>
      <c r="AP38" s="1">
        <v>75</v>
      </c>
      <c r="AQ38" s="1">
        <v>75</v>
      </c>
      <c r="AR38" s="1">
        <v>75</v>
      </c>
      <c r="AS38" s="1">
        <v>75</v>
      </c>
      <c r="AT38" s="1">
        <v>75</v>
      </c>
      <c r="AU38" s="1">
        <v>75</v>
      </c>
      <c r="AV38" s="1">
        <v>75</v>
      </c>
      <c r="AW38" s="1">
        <v>75</v>
      </c>
      <c r="AX38" s="1">
        <v>75</v>
      </c>
      <c r="AY38" s="1">
        <v>75</v>
      </c>
      <c r="AZ38" s="1">
        <v>75</v>
      </c>
      <c r="BA38" s="1">
        <v>75</v>
      </c>
      <c r="BB38" s="1">
        <v>75</v>
      </c>
      <c r="BC38" s="1">
        <v>75</v>
      </c>
      <c r="BD38">
        <v>75</v>
      </c>
      <c r="BE38">
        <v>75</v>
      </c>
      <c r="BF38">
        <v>75</v>
      </c>
      <c r="BG38">
        <v>75</v>
      </c>
      <c r="BH38">
        <v>75</v>
      </c>
      <c r="BI38">
        <v>75</v>
      </c>
      <c r="BJ38">
        <v>75</v>
      </c>
      <c r="BK38">
        <v>75</v>
      </c>
      <c r="BL38">
        <v>75</v>
      </c>
      <c r="BM38">
        <v>75</v>
      </c>
      <c r="BN38">
        <v>75</v>
      </c>
      <c r="BO38">
        <v>75</v>
      </c>
    </row>
    <row r="39" spans="1:67" hidden="1" x14ac:dyDescent="0.3">
      <c r="A39" s="1" t="s">
        <v>16</v>
      </c>
      <c r="B39" s="1" t="s">
        <v>202</v>
      </c>
      <c r="C39" s="1">
        <v>32.9711</v>
      </c>
      <c r="D39" s="1">
        <v>119.455</v>
      </c>
      <c r="E39" s="1">
        <v>1</v>
      </c>
      <c r="F39" s="1">
        <v>5</v>
      </c>
      <c r="G39" s="1">
        <v>9</v>
      </c>
      <c r="H39" s="1">
        <v>18</v>
      </c>
      <c r="I39" s="1">
        <v>33</v>
      </c>
      <c r="J39" s="1">
        <v>47</v>
      </c>
      <c r="K39" s="1">
        <v>70</v>
      </c>
      <c r="L39" s="1">
        <v>99</v>
      </c>
      <c r="M39" s="1">
        <v>129</v>
      </c>
      <c r="N39" s="1">
        <v>168</v>
      </c>
      <c r="O39" s="1">
        <v>202</v>
      </c>
      <c r="P39" s="1">
        <v>236</v>
      </c>
      <c r="Q39" s="1">
        <v>271</v>
      </c>
      <c r="R39" s="1">
        <v>308</v>
      </c>
      <c r="S39" s="1">
        <v>341</v>
      </c>
      <c r="T39" s="1">
        <v>373</v>
      </c>
      <c r="U39" s="1">
        <v>408</v>
      </c>
      <c r="V39" s="1">
        <v>439</v>
      </c>
      <c r="W39" s="1">
        <v>468</v>
      </c>
      <c r="X39" s="1">
        <v>492</v>
      </c>
      <c r="Y39" s="1">
        <v>515</v>
      </c>
      <c r="Z39" s="1">
        <v>543</v>
      </c>
      <c r="AA39" s="1">
        <v>570</v>
      </c>
      <c r="AB39" s="1">
        <v>593</v>
      </c>
      <c r="AC39" s="1">
        <v>604</v>
      </c>
      <c r="AD39" s="1">
        <v>617</v>
      </c>
      <c r="AE39" s="1">
        <v>626</v>
      </c>
      <c r="AF39" s="1">
        <v>629</v>
      </c>
      <c r="AG39" s="1">
        <v>631</v>
      </c>
      <c r="AH39" s="1">
        <v>631</v>
      </c>
      <c r="AI39" s="1">
        <v>631</v>
      </c>
      <c r="AJ39" s="1">
        <v>631</v>
      </c>
      <c r="AK39" s="1">
        <v>631</v>
      </c>
      <c r="AL39" s="1">
        <v>631</v>
      </c>
      <c r="AM39" s="1">
        <v>631</v>
      </c>
      <c r="AN39" s="1">
        <v>631</v>
      </c>
      <c r="AO39" s="1">
        <v>631</v>
      </c>
      <c r="AP39" s="1">
        <v>631</v>
      </c>
      <c r="AQ39" s="1">
        <v>631</v>
      </c>
      <c r="AR39" s="1">
        <v>631</v>
      </c>
      <c r="AS39" s="1">
        <v>631</v>
      </c>
      <c r="AT39" s="1">
        <v>631</v>
      </c>
      <c r="AU39" s="1">
        <v>631</v>
      </c>
      <c r="AV39" s="1">
        <v>631</v>
      </c>
      <c r="AW39" s="1">
        <v>631</v>
      </c>
      <c r="AX39" s="1">
        <v>631</v>
      </c>
      <c r="AY39" s="1">
        <v>631</v>
      </c>
      <c r="AZ39" s="1">
        <v>631</v>
      </c>
      <c r="BA39" s="1">
        <v>631</v>
      </c>
      <c r="BB39" s="1">
        <v>631</v>
      </c>
      <c r="BC39" s="1">
        <v>631</v>
      </c>
      <c r="BD39">
        <v>631</v>
      </c>
      <c r="BE39">
        <v>631</v>
      </c>
      <c r="BF39">
        <v>631</v>
      </c>
      <c r="BG39">
        <v>631</v>
      </c>
      <c r="BH39">
        <v>631</v>
      </c>
      <c r="BI39">
        <v>631</v>
      </c>
      <c r="BJ39">
        <v>631</v>
      </c>
      <c r="BK39">
        <v>631</v>
      </c>
      <c r="BL39">
        <v>631</v>
      </c>
      <c r="BM39">
        <v>633</v>
      </c>
      <c r="BN39">
        <v>633</v>
      </c>
      <c r="BO39">
        <v>636</v>
      </c>
    </row>
    <row r="40" spans="1:67" hidden="1" x14ac:dyDescent="0.3">
      <c r="A40" s="1" t="s">
        <v>17</v>
      </c>
      <c r="B40" s="1" t="s">
        <v>202</v>
      </c>
      <c r="C40" s="1">
        <v>27.614000000000001</v>
      </c>
      <c r="D40" s="1">
        <v>115.7221</v>
      </c>
      <c r="E40" s="1">
        <v>2</v>
      </c>
      <c r="F40" s="1">
        <v>7</v>
      </c>
      <c r="G40" s="1">
        <v>18</v>
      </c>
      <c r="H40" s="1">
        <v>18</v>
      </c>
      <c r="I40" s="1">
        <v>36</v>
      </c>
      <c r="J40" s="1">
        <v>72</v>
      </c>
      <c r="K40" s="1">
        <v>109</v>
      </c>
      <c r="L40" s="1">
        <v>109</v>
      </c>
      <c r="M40" s="1">
        <v>162</v>
      </c>
      <c r="N40" s="1">
        <v>240</v>
      </c>
      <c r="O40" s="1">
        <v>286</v>
      </c>
      <c r="P40" s="1">
        <v>333</v>
      </c>
      <c r="Q40" s="1">
        <v>391</v>
      </c>
      <c r="R40" s="1">
        <v>476</v>
      </c>
      <c r="S40" s="1">
        <v>548</v>
      </c>
      <c r="T40" s="1">
        <v>600</v>
      </c>
      <c r="U40" s="1">
        <v>661</v>
      </c>
      <c r="V40" s="1">
        <v>698</v>
      </c>
      <c r="W40" s="1">
        <v>740</v>
      </c>
      <c r="X40" s="1">
        <v>771</v>
      </c>
      <c r="Y40" s="1">
        <v>804</v>
      </c>
      <c r="Z40" s="1">
        <v>844</v>
      </c>
      <c r="AA40" s="1">
        <v>872</v>
      </c>
      <c r="AB40" s="1">
        <v>900</v>
      </c>
      <c r="AC40" s="1">
        <v>913</v>
      </c>
      <c r="AD40" s="1">
        <v>925</v>
      </c>
      <c r="AE40" s="1">
        <v>930</v>
      </c>
      <c r="AF40" s="1">
        <v>933</v>
      </c>
      <c r="AG40" s="1">
        <v>934</v>
      </c>
      <c r="AH40" s="1">
        <v>934</v>
      </c>
      <c r="AI40" s="1">
        <v>934</v>
      </c>
      <c r="AJ40" s="1">
        <v>934</v>
      </c>
      <c r="AK40" s="1">
        <v>934</v>
      </c>
      <c r="AL40" s="1">
        <v>934</v>
      </c>
      <c r="AM40" s="1">
        <v>934</v>
      </c>
      <c r="AN40" s="1">
        <v>934</v>
      </c>
      <c r="AO40" s="1">
        <v>934</v>
      </c>
      <c r="AP40" s="1">
        <v>935</v>
      </c>
      <c r="AQ40" s="1">
        <v>935</v>
      </c>
      <c r="AR40" s="1">
        <v>935</v>
      </c>
      <c r="AS40" s="1">
        <v>935</v>
      </c>
      <c r="AT40" s="1">
        <v>935</v>
      </c>
      <c r="AU40" s="1">
        <v>935</v>
      </c>
      <c r="AV40" s="1">
        <v>935</v>
      </c>
      <c r="AW40" s="1">
        <v>935</v>
      </c>
      <c r="AX40" s="1">
        <v>935</v>
      </c>
      <c r="AY40" s="1">
        <v>935</v>
      </c>
      <c r="AZ40" s="1">
        <v>935</v>
      </c>
      <c r="BA40" s="1">
        <v>935</v>
      </c>
      <c r="BB40" s="1">
        <v>935</v>
      </c>
      <c r="BC40" s="1">
        <v>935</v>
      </c>
      <c r="BD40">
        <v>935</v>
      </c>
      <c r="BE40">
        <v>935</v>
      </c>
      <c r="BF40">
        <v>935</v>
      </c>
      <c r="BG40">
        <v>935</v>
      </c>
      <c r="BH40">
        <v>935</v>
      </c>
      <c r="BI40">
        <v>935</v>
      </c>
      <c r="BJ40">
        <v>935</v>
      </c>
      <c r="BK40">
        <v>935</v>
      </c>
      <c r="BL40">
        <v>935</v>
      </c>
      <c r="BM40">
        <v>936</v>
      </c>
      <c r="BN40">
        <v>936</v>
      </c>
      <c r="BO40">
        <v>936</v>
      </c>
    </row>
    <row r="41" spans="1:67" hidden="1" x14ac:dyDescent="0.3">
      <c r="A41" s="1" t="s">
        <v>33</v>
      </c>
      <c r="B41" s="1" t="s">
        <v>202</v>
      </c>
      <c r="C41" s="1">
        <v>43.6661</v>
      </c>
      <c r="D41" s="1">
        <v>126.1923</v>
      </c>
      <c r="E41" s="1">
        <v>0</v>
      </c>
      <c r="F41" s="1">
        <v>1</v>
      </c>
      <c r="G41" s="1">
        <v>3</v>
      </c>
      <c r="H41" s="1">
        <v>4</v>
      </c>
      <c r="I41" s="1">
        <v>4</v>
      </c>
      <c r="J41" s="1">
        <v>6</v>
      </c>
      <c r="K41" s="1">
        <v>8</v>
      </c>
      <c r="L41" s="1">
        <v>9</v>
      </c>
      <c r="M41" s="1">
        <v>14</v>
      </c>
      <c r="N41" s="1">
        <v>14</v>
      </c>
      <c r="O41" s="1">
        <v>17</v>
      </c>
      <c r="P41" s="1">
        <v>23</v>
      </c>
      <c r="Q41" s="1">
        <v>31</v>
      </c>
      <c r="R41" s="1">
        <v>42</v>
      </c>
      <c r="S41" s="1">
        <v>54</v>
      </c>
      <c r="T41" s="1">
        <v>59</v>
      </c>
      <c r="U41" s="1">
        <v>65</v>
      </c>
      <c r="V41" s="1">
        <v>69</v>
      </c>
      <c r="W41" s="1">
        <v>78</v>
      </c>
      <c r="X41" s="1">
        <v>80</v>
      </c>
      <c r="Y41" s="1">
        <v>81</v>
      </c>
      <c r="Z41" s="1">
        <v>83</v>
      </c>
      <c r="AA41" s="1">
        <v>84</v>
      </c>
      <c r="AB41" s="1">
        <v>86</v>
      </c>
      <c r="AC41" s="1">
        <v>88</v>
      </c>
      <c r="AD41" s="1">
        <v>89</v>
      </c>
      <c r="AE41" s="1">
        <v>89</v>
      </c>
      <c r="AF41" s="1">
        <v>89</v>
      </c>
      <c r="AG41" s="1">
        <v>90</v>
      </c>
      <c r="AH41" s="1">
        <v>91</v>
      </c>
      <c r="AI41" s="1">
        <v>91</v>
      </c>
      <c r="AJ41" s="1">
        <v>91</v>
      </c>
      <c r="AK41" s="1">
        <v>91</v>
      </c>
      <c r="AL41" s="1">
        <v>93</v>
      </c>
      <c r="AM41" s="1">
        <v>93</v>
      </c>
      <c r="AN41" s="1">
        <v>93</v>
      </c>
      <c r="AO41" s="1">
        <v>93</v>
      </c>
      <c r="AP41" s="1">
        <v>93</v>
      </c>
      <c r="AQ41" s="1">
        <v>93</v>
      </c>
      <c r="AR41" s="1">
        <v>93</v>
      </c>
      <c r="AS41" s="1">
        <v>93</v>
      </c>
      <c r="AT41" s="1">
        <v>93</v>
      </c>
      <c r="AU41" s="1">
        <v>93</v>
      </c>
      <c r="AV41" s="1">
        <v>93</v>
      </c>
      <c r="AW41" s="1">
        <v>93</v>
      </c>
      <c r="AX41" s="1">
        <v>93</v>
      </c>
      <c r="AY41" s="1">
        <v>93</v>
      </c>
      <c r="AZ41" s="1">
        <v>93</v>
      </c>
      <c r="BA41" s="1">
        <v>93</v>
      </c>
      <c r="BB41" s="1">
        <v>93</v>
      </c>
      <c r="BC41" s="1">
        <v>93</v>
      </c>
      <c r="BD41">
        <v>93</v>
      </c>
      <c r="BE41">
        <v>93</v>
      </c>
      <c r="BF41">
        <v>93</v>
      </c>
      <c r="BG41">
        <v>93</v>
      </c>
      <c r="BH41">
        <v>93</v>
      </c>
      <c r="BI41">
        <v>93</v>
      </c>
      <c r="BJ41">
        <v>93</v>
      </c>
      <c r="BK41">
        <v>93</v>
      </c>
      <c r="BL41">
        <v>93</v>
      </c>
      <c r="BM41">
        <v>93</v>
      </c>
      <c r="BN41">
        <v>93</v>
      </c>
      <c r="BO41">
        <v>93</v>
      </c>
    </row>
    <row r="42" spans="1:67" hidden="1" x14ac:dyDescent="0.3">
      <c r="A42" s="1" t="s">
        <v>19</v>
      </c>
      <c r="B42" s="1" t="s">
        <v>202</v>
      </c>
      <c r="C42" s="1">
        <v>41.2956</v>
      </c>
      <c r="D42" s="1">
        <v>122.60850000000001</v>
      </c>
      <c r="E42" s="1">
        <v>2</v>
      </c>
      <c r="F42" s="1">
        <v>3</v>
      </c>
      <c r="G42" s="1">
        <v>4</v>
      </c>
      <c r="H42" s="1">
        <v>17</v>
      </c>
      <c r="I42" s="1">
        <v>21</v>
      </c>
      <c r="J42" s="1">
        <v>27</v>
      </c>
      <c r="K42" s="1">
        <v>34</v>
      </c>
      <c r="L42" s="1">
        <v>39</v>
      </c>
      <c r="M42" s="1">
        <v>41</v>
      </c>
      <c r="N42" s="1">
        <v>48</v>
      </c>
      <c r="O42" s="1">
        <v>64</v>
      </c>
      <c r="P42" s="1">
        <v>70</v>
      </c>
      <c r="Q42" s="1">
        <v>74</v>
      </c>
      <c r="R42" s="1">
        <v>81</v>
      </c>
      <c r="S42" s="1">
        <v>89</v>
      </c>
      <c r="T42" s="1">
        <v>94</v>
      </c>
      <c r="U42" s="1">
        <v>99</v>
      </c>
      <c r="V42" s="1">
        <v>105</v>
      </c>
      <c r="W42" s="1">
        <v>107</v>
      </c>
      <c r="X42" s="1">
        <v>108</v>
      </c>
      <c r="Y42" s="1">
        <v>111</v>
      </c>
      <c r="Z42" s="1">
        <v>116</v>
      </c>
      <c r="AA42" s="1">
        <v>117</v>
      </c>
      <c r="AB42" s="1">
        <v>119</v>
      </c>
      <c r="AC42" s="1">
        <v>119</v>
      </c>
      <c r="AD42" s="1">
        <v>121</v>
      </c>
      <c r="AE42" s="1">
        <v>121</v>
      </c>
      <c r="AF42" s="1">
        <v>121</v>
      </c>
      <c r="AG42" s="1">
        <v>121</v>
      </c>
      <c r="AH42" s="1">
        <v>121</v>
      </c>
      <c r="AI42" s="1">
        <v>121</v>
      </c>
      <c r="AJ42" s="1">
        <v>121</v>
      </c>
      <c r="AK42" s="1">
        <v>121</v>
      </c>
      <c r="AL42" s="1">
        <v>121</v>
      </c>
      <c r="AM42" s="1">
        <v>121</v>
      </c>
      <c r="AN42" s="1">
        <v>121</v>
      </c>
      <c r="AO42" s="1">
        <v>121</v>
      </c>
      <c r="AP42" s="1">
        <v>121</v>
      </c>
      <c r="AQ42" s="1">
        <v>121</v>
      </c>
      <c r="AR42" s="1">
        <v>122</v>
      </c>
      <c r="AS42" s="1">
        <v>122</v>
      </c>
      <c r="AT42" s="1">
        <v>125</v>
      </c>
      <c r="AU42" s="1">
        <v>125</v>
      </c>
      <c r="AV42" s="1">
        <v>125</v>
      </c>
      <c r="AW42" s="1">
        <v>125</v>
      </c>
      <c r="AX42" s="1">
        <v>125</v>
      </c>
      <c r="AY42" s="1">
        <v>125</v>
      </c>
      <c r="AZ42" s="1">
        <v>125</v>
      </c>
      <c r="BA42" s="1">
        <v>125</v>
      </c>
      <c r="BB42" s="1">
        <v>125</v>
      </c>
      <c r="BC42" s="1">
        <v>125</v>
      </c>
      <c r="BD42">
        <v>125</v>
      </c>
      <c r="BE42">
        <v>125</v>
      </c>
      <c r="BF42">
        <v>125</v>
      </c>
      <c r="BG42">
        <v>125</v>
      </c>
      <c r="BH42">
        <v>125</v>
      </c>
      <c r="BI42">
        <v>125</v>
      </c>
      <c r="BJ42">
        <v>125</v>
      </c>
      <c r="BK42">
        <v>126</v>
      </c>
      <c r="BL42">
        <v>126</v>
      </c>
      <c r="BM42">
        <v>127</v>
      </c>
      <c r="BN42">
        <v>127</v>
      </c>
      <c r="BO42">
        <v>127</v>
      </c>
    </row>
    <row r="43" spans="1:67" hidden="1" x14ac:dyDescent="0.3">
      <c r="A43" s="1" t="s">
        <v>20</v>
      </c>
      <c r="B43" s="1" t="s">
        <v>202</v>
      </c>
      <c r="C43" s="1">
        <v>22.166699999999999</v>
      </c>
      <c r="D43" s="1">
        <v>113.55</v>
      </c>
      <c r="E43" s="1">
        <v>1</v>
      </c>
      <c r="F43" s="1">
        <v>2</v>
      </c>
      <c r="G43" s="1">
        <v>2</v>
      </c>
      <c r="H43" s="1">
        <v>2</v>
      </c>
      <c r="I43" s="1">
        <v>5</v>
      </c>
      <c r="J43" s="1">
        <v>6</v>
      </c>
      <c r="K43" s="1">
        <v>7</v>
      </c>
      <c r="L43" s="1">
        <v>7</v>
      </c>
      <c r="M43" s="1">
        <v>7</v>
      </c>
      <c r="N43" s="1">
        <v>7</v>
      </c>
      <c r="O43" s="1">
        <v>7</v>
      </c>
      <c r="P43" s="1">
        <v>8</v>
      </c>
      <c r="Q43" s="1">
        <v>8</v>
      </c>
      <c r="R43" s="1">
        <v>10</v>
      </c>
      <c r="S43" s="1">
        <v>10</v>
      </c>
      <c r="T43" s="1">
        <v>10</v>
      </c>
      <c r="U43" s="1">
        <v>10</v>
      </c>
      <c r="V43" s="1">
        <v>10</v>
      </c>
      <c r="W43" s="1">
        <v>10</v>
      </c>
      <c r="X43" s="1">
        <v>10</v>
      </c>
      <c r="Y43" s="1">
        <v>10</v>
      </c>
      <c r="Z43" s="1">
        <v>10</v>
      </c>
      <c r="AA43" s="1">
        <v>10</v>
      </c>
      <c r="AB43" s="1">
        <v>10</v>
      </c>
      <c r="AC43" s="1">
        <v>10</v>
      </c>
      <c r="AD43" s="1">
        <v>10</v>
      </c>
      <c r="AE43" s="1">
        <v>10</v>
      </c>
      <c r="AF43" s="1">
        <v>10</v>
      </c>
      <c r="AG43" s="1">
        <v>10</v>
      </c>
      <c r="AH43" s="1">
        <v>10</v>
      </c>
      <c r="AI43" s="1">
        <v>10</v>
      </c>
      <c r="AJ43" s="1">
        <v>10</v>
      </c>
      <c r="AK43" s="1">
        <v>10</v>
      </c>
      <c r="AL43" s="1">
        <v>10</v>
      </c>
      <c r="AM43" s="1">
        <v>10</v>
      </c>
      <c r="AN43" s="1">
        <v>10</v>
      </c>
      <c r="AO43" s="1">
        <v>10</v>
      </c>
      <c r="AP43" s="1">
        <v>10</v>
      </c>
      <c r="AQ43" s="1">
        <v>10</v>
      </c>
      <c r="AR43" s="1">
        <v>10</v>
      </c>
      <c r="AS43" s="1">
        <v>10</v>
      </c>
      <c r="AT43" s="1">
        <v>10</v>
      </c>
      <c r="AU43" s="1">
        <v>10</v>
      </c>
      <c r="AV43" s="1">
        <v>10</v>
      </c>
      <c r="AW43" s="1">
        <v>10</v>
      </c>
      <c r="AX43" s="1">
        <v>10</v>
      </c>
      <c r="AY43" s="1">
        <v>10</v>
      </c>
      <c r="AZ43" s="1">
        <v>10</v>
      </c>
      <c r="BA43" s="1">
        <v>10</v>
      </c>
      <c r="BB43" s="1">
        <v>10</v>
      </c>
      <c r="BC43" s="1">
        <v>10</v>
      </c>
      <c r="BD43">
        <v>10</v>
      </c>
      <c r="BE43">
        <v>10</v>
      </c>
      <c r="BF43">
        <v>10</v>
      </c>
      <c r="BG43">
        <v>11</v>
      </c>
      <c r="BH43">
        <v>12</v>
      </c>
      <c r="BI43">
        <v>15</v>
      </c>
      <c r="BJ43">
        <v>17</v>
      </c>
      <c r="BK43">
        <v>17</v>
      </c>
      <c r="BL43">
        <v>18</v>
      </c>
      <c r="BM43">
        <v>24</v>
      </c>
      <c r="BN43">
        <v>24</v>
      </c>
      <c r="BO43">
        <v>25</v>
      </c>
    </row>
    <row r="44" spans="1:67" hidden="1" x14ac:dyDescent="0.3">
      <c r="A44" s="1" t="s">
        <v>21</v>
      </c>
      <c r="B44" s="1" t="s">
        <v>202</v>
      </c>
      <c r="C44" s="1">
        <v>37.269199999999998</v>
      </c>
      <c r="D44" s="1">
        <v>106.16549999999999</v>
      </c>
      <c r="E44" s="1">
        <v>1</v>
      </c>
      <c r="F44" s="1">
        <v>1</v>
      </c>
      <c r="G44" s="1">
        <v>2</v>
      </c>
      <c r="H44" s="1">
        <v>3</v>
      </c>
      <c r="I44" s="1">
        <v>4</v>
      </c>
      <c r="J44" s="1">
        <v>7</v>
      </c>
      <c r="K44" s="1">
        <v>11</v>
      </c>
      <c r="L44" s="1">
        <v>12</v>
      </c>
      <c r="M44" s="1">
        <v>17</v>
      </c>
      <c r="N44" s="1">
        <v>21</v>
      </c>
      <c r="O44" s="1">
        <v>26</v>
      </c>
      <c r="P44" s="1">
        <v>28</v>
      </c>
      <c r="Q44" s="1">
        <v>31</v>
      </c>
      <c r="R44" s="1">
        <v>34</v>
      </c>
      <c r="S44" s="1">
        <v>34</v>
      </c>
      <c r="T44" s="1">
        <v>40</v>
      </c>
      <c r="U44" s="1">
        <v>43</v>
      </c>
      <c r="V44" s="1">
        <v>45</v>
      </c>
      <c r="W44" s="1">
        <v>45</v>
      </c>
      <c r="X44" s="1">
        <v>49</v>
      </c>
      <c r="Y44" s="1">
        <v>53</v>
      </c>
      <c r="Z44" s="1">
        <v>58</v>
      </c>
      <c r="AA44" s="1">
        <v>64</v>
      </c>
      <c r="AB44" s="1">
        <v>67</v>
      </c>
      <c r="AC44" s="1">
        <v>70</v>
      </c>
      <c r="AD44" s="1">
        <v>70</v>
      </c>
      <c r="AE44" s="1">
        <v>70</v>
      </c>
      <c r="AF44" s="1">
        <v>70</v>
      </c>
      <c r="AG44" s="1">
        <v>71</v>
      </c>
      <c r="AH44" s="1">
        <v>71</v>
      </c>
      <c r="AI44" s="1">
        <v>71</v>
      </c>
      <c r="AJ44" s="1">
        <v>71</v>
      </c>
      <c r="AK44" s="1">
        <v>71</v>
      </c>
      <c r="AL44" s="1">
        <v>71</v>
      </c>
      <c r="AM44" s="1">
        <v>71</v>
      </c>
      <c r="AN44" s="1">
        <v>71</v>
      </c>
      <c r="AO44" s="1">
        <v>72</v>
      </c>
      <c r="AP44" s="1">
        <v>72</v>
      </c>
      <c r="AQ44" s="1">
        <v>73</v>
      </c>
      <c r="AR44" s="1">
        <v>73</v>
      </c>
      <c r="AS44" s="1">
        <v>74</v>
      </c>
      <c r="AT44" s="1">
        <v>74</v>
      </c>
      <c r="AU44" s="1">
        <v>75</v>
      </c>
      <c r="AV44" s="1">
        <v>75</v>
      </c>
      <c r="AW44" s="1">
        <v>75</v>
      </c>
      <c r="AX44" s="1">
        <v>75</v>
      </c>
      <c r="AY44" s="1">
        <v>75</v>
      </c>
      <c r="AZ44" s="1">
        <v>75</v>
      </c>
      <c r="BA44" s="1">
        <v>75</v>
      </c>
      <c r="BB44" s="1">
        <v>75</v>
      </c>
      <c r="BC44" s="1">
        <v>75</v>
      </c>
      <c r="BD44">
        <v>75</v>
      </c>
      <c r="BE44">
        <v>75</v>
      </c>
      <c r="BF44">
        <v>75</v>
      </c>
      <c r="BG44">
        <v>75</v>
      </c>
      <c r="BH44">
        <v>75</v>
      </c>
      <c r="BI44">
        <v>75</v>
      </c>
      <c r="BJ44">
        <v>75</v>
      </c>
      <c r="BK44">
        <v>75</v>
      </c>
      <c r="BL44">
        <v>75</v>
      </c>
      <c r="BM44">
        <v>75</v>
      </c>
      <c r="BN44">
        <v>75</v>
      </c>
      <c r="BO44">
        <v>75</v>
      </c>
    </row>
    <row r="45" spans="1:67" hidden="1" x14ac:dyDescent="0.3">
      <c r="A45" s="1" t="s">
        <v>40</v>
      </c>
      <c r="B45" s="1" t="s">
        <v>202</v>
      </c>
      <c r="C45" s="1">
        <v>35.745199999999997</v>
      </c>
      <c r="D45" s="1">
        <v>95.995599999999996</v>
      </c>
      <c r="E45" s="1">
        <v>0</v>
      </c>
      <c r="F45" s="1">
        <v>0</v>
      </c>
      <c r="G45" s="1">
        <v>0</v>
      </c>
      <c r="H45" s="1">
        <v>1</v>
      </c>
      <c r="I45" s="1">
        <v>1</v>
      </c>
      <c r="J45" s="1">
        <v>6</v>
      </c>
      <c r="K45" s="1">
        <v>6</v>
      </c>
      <c r="L45" s="1">
        <v>6</v>
      </c>
      <c r="M45" s="1">
        <v>8</v>
      </c>
      <c r="N45" s="1">
        <v>8</v>
      </c>
      <c r="O45" s="1">
        <v>9</v>
      </c>
      <c r="P45" s="1">
        <v>11</v>
      </c>
      <c r="Q45" s="1">
        <v>13</v>
      </c>
      <c r="R45" s="1">
        <v>15</v>
      </c>
      <c r="S45" s="1">
        <v>17</v>
      </c>
      <c r="T45" s="1">
        <v>18</v>
      </c>
      <c r="U45" s="1">
        <v>18</v>
      </c>
      <c r="V45" s="1">
        <v>18</v>
      </c>
      <c r="W45" s="1">
        <v>18</v>
      </c>
      <c r="X45" s="1">
        <v>18</v>
      </c>
      <c r="Y45" s="1">
        <v>18</v>
      </c>
      <c r="Z45" s="1">
        <v>18</v>
      </c>
      <c r="AA45" s="1">
        <v>18</v>
      </c>
      <c r="AB45" s="1">
        <v>18</v>
      </c>
      <c r="AC45" s="1">
        <v>18</v>
      </c>
      <c r="AD45" s="1">
        <v>18</v>
      </c>
      <c r="AE45" s="1">
        <v>18</v>
      </c>
      <c r="AF45" s="1">
        <v>18</v>
      </c>
      <c r="AG45" s="1">
        <v>18</v>
      </c>
      <c r="AH45" s="1">
        <v>18</v>
      </c>
      <c r="AI45" s="1">
        <v>18</v>
      </c>
      <c r="AJ45" s="1">
        <v>18</v>
      </c>
      <c r="AK45" s="1">
        <v>18</v>
      </c>
      <c r="AL45" s="1">
        <v>18</v>
      </c>
      <c r="AM45" s="1">
        <v>18</v>
      </c>
      <c r="AN45" s="1">
        <v>18</v>
      </c>
      <c r="AO45" s="1">
        <v>18</v>
      </c>
      <c r="AP45" s="1">
        <v>18</v>
      </c>
      <c r="AQ45" s="1">
        <v>18</v>
      </c>
      <c r="AR45" s="1">
        <v>18</v>
      </c>
      <c r="AS45" s="1">
        <v>18</v>
      </c>
      <c r="AT45" s="1">
        <v>18</v>
      </c>
      <c r="AU45" s="1">
        <v>18</v>
      </c>
      <c r="AV45" s="1">
        <v>18</v>
      </c>
      <c r="AW45" s="1">
        <v>18</v>
      </c>
      <c r="AX45" s="1">
        <v>18</v>
      </c>
      <c r="AY45" s="1">
        <v>18</v>
      </c>
      <c r="AZ45" s="1">
        <v>18</v>
      </c>
      <c r="BA45" s="1">
        <v>18</v>
      </c>
      <c r="BB45" s="1">
        <v>18</v>
      </c>
      <c r="BC45" s="1">
        <v>18</v>
      </c>
      <c r="BD45">
        <v>18</v>
      </c>
      <c r="BE45">
        <v>18</v>
      </c>
      <c r="BF45">
        <v>18</v>
      </c>
      <c r="BG45">
        <v>18</v>
      </c>
      <c r="BH45">
        <v>18</v>
      </c>
      <c r="BI45">
        <v>18</v>
      </c>
      <c r="BJ45">
        <v>18</v>
      </c>
      <c r="BK45">
        <v>18</v>
      </c>
      <c r="BL45">
        <v>18</v>
      </c>
      <c r="BM45">
        <v>18</v>
      </c>
      <c r="BN45">
        <v>18</v>
      </c>
      <c r="BO45">
        <v>18</v>
      </c>
    </row>
    <row r="46" spans="1:67" hidden="1" x14ac:dyDescent="0.3">
      <c r="A46" s="1" t="s">
        <v>34</v>
      </c>
      <c r="B46" s="1" t="s">
        <v>202</v>
      </c>
      <c r="C46" s="1">
        <v>35.191699999999997</v>
      </c>
      <c r="D46" s="1">
        <v>108.87009999999999</v>
      </c>
      <c r="E46" s="1">
        <v>0</v>
      </c>
      <c r="F46" s="1">
        <v>3</v>
      </c>
      <c r="G46" s="1">
        <v>5</v>
      </c>
      <c r="H46" s="1">
        <v>15</v>
      </c>
      <c r="I46" s="1">
        <v>22</v>
      </c>
      <c r="J46" s="1">
        <v>35</v>
      </c>
      <c r="K46" s="1">
        <v>46</v>
      </c>
      <c r="L46" s="1">
        <v>56</v>
      </c>
      <c r="M46" s="1">
        <v>63</v>
      </c>
      <c r="N46" s="1">
        <v>87</v>
      </c>
      <c r="O46" s="1">
        <v>101</v>
      </c>
      <c r="P46" s="1">
        <v>116</v>
      </c>
      <c r="Q46" s="1">
        <v>128</v>
      </c>
      <c r="R46" s="1">
        <v>142</v>
      </c>
      <c r="S46" s="1">
        <v>165</v>
      </c>
      <c r="T46" s="1">
        <v>173</v>
      </c>
      <c r="U46" s="1">
        <v>184</v>
      </c>
      <c r="V46" s="1">
        <v>195</v>
      </c>
      <c r="W46" s="1">
        <v>208</v>
      </c>
      <c r="X46" s="1">
        <v>213</v>
      </c>
      <c r="Y46" s="1">
        <v>219</v>
      </c>
      <c r="Z46" s="1">
        <v>225</v>
      </c>
      <c r="AA46" s="1">
        <v>229</v>
      </c>
      <c r="AB46" s="1">
        <v>230</v>
      </c>
      <c r="AC46" s="1">
        <v>232</v>
      </c>
      <c r="AD46" s="1">
        <v>236</v>
      </c>
      <c r="AE46" s="1">
        <v>240</v>
      </c>
      <c r="AF46" s="1">
        <v>240</v>
      </c>
      <c r="AG46" s="1">
        <v>242</v>
      </c>
      <c r="AH46" s="1">
        <v>245</v>
      </c>
      <c r="AI46" s="1">
        <v>245</v>
      </c>
      <c r="AJ46" s="1">
        <v>245</v>
      </c>
      <c r="AK46" s="1">
        <v>245</v>
      </c>
      <c r="AL46" s="1">
        <v>245</v>
      </c>
      <c r="AM46" s="1">
        <v>245</v>
      </c>
      <c r="AN46" s="1">
        <v>245</v>
      </c>
      <c r="AO46" s="1">
        <v>245</v>
      </c>
      <c r="AP46" s="1">
        <v>245</v>
      </c>
      <c r="AQ46" s="1">
        <v>245</v>
      </c>
      <c r="AR46" s="1">
        <v>245</v>
      </c>
      <c r="AS46" s="1">
        <v>245</v>
      </c>
      <c r="AT46" s="1">
        <v>245</v>
      </c>
      <c r="AU46" s="1">
        <v>245</v>
      </c>
      <c r="AV46" s="1">
        <v>245</v>
      </c>
      <c r="AW46" s="1">
        <v>245</v>
      </c>
      <c r="AX46" s="1">
        <v>245</v>
      </c>
      <c r="AY46" s="1">
        <v>245</v>
      </c>
      <c r="AZ46" s="1">
        <v>245</v>
      </c>
      <c r="BA46" s="1">
        <v>245</v>
      </c>
      <c r="BB46" s="1">
        <v>245</v>
      </c>
      <c r="BC46" s="1">
        <v>245</v>
      </c>
      <c r="BD46">
        <v>245</v>
      </c>
      <c r="BE46">
        <v>245</v>
      </c>
      <c r="BF46">
        <v>245</v>
      </c>
      <c r="BG46">
        <v>245</v>
      </c>
      <c r="BH46">
        <v>246</v>
      </c>
      <c r="BI46">
        <v>246</v>
      </c>
      <c r="BJ46">
        <v>246</v>
      </c>
      <c r="BK46">
        <v>247</v>
      </c>
      <c r="BL46">
        <v>248</v>
      </c>
      <c r="BM46">
        <v>248</v>
      </c>
      <c r="BN46">
        <v>248</v>
      </c>
      <c r="BO46">
        <v>249</v>
      </c>
    </row>
    <row r="47" spans="1:67" hidden="1" x14ac:dyDescent="0.3">
      <c r="A47" s="1" t="s">
        <v>22</v>
      </c>
      <c r="B47" s="1" t="s">
        <v>202</v>
      </c>
      <c r="C47" s="1">
        <v>36.342700000000001</v>
      </c>
      <c r="D47" s="1">
        <v>118.1498</v>
      </c>
      <c r="E47" s="1">
        <v>2</v>
      </c>
      <c r="F47" s="1">
        <v>6</v>
      </c>
      <c r="G47" s="1">
        <v>15</v>
      </c>
      <c r="H47" s="1">
        <v>27</v>
      </c>
      <c r="I47" s="1">
        <v>46</v>
      </c>
      <c r="J47" s="1">
        <v>75</v>
      </c>
      <c r="K47" s="1">
        <v>95</v>
      </c>
      <c r="L47" s="1">
        <v>130</v>
      </c>
      <c r="M47" s="1">
        <v>158</v>
      </c>
      <c r="N47" s="1">
        <v>184</v>
      </c>
      <c r="O47" s="1">
        <v>206</v>
      </c>
      <c r="P47" s="1">
        <v>230</v>
      </c>
      <c r="Q47" s="1">
        <v>259</v>
      </c>
      <c r="R47" s="1">
        <v>275</v>
      </c>
      <c r="S47" s="1">
        <v>307</v>
      </c>
      <c r="T47" s="1">
        <v>347</v>
      </c>
      <c r="U47" s="1">
        <v>386</v>
      </c>
      <c r="V47" s="1">
        <v>416</v>
      </c>
      <c r="W47" s="1">
        <v>444</v>
      </c>
      <c r="X47" s="1">
        <v>466</v>
      </c>
      <c r="Y47" s="1">
        <v>487</v>
      </c>
      <c r="Z47" s="1">
        <v>497</v>
      </c>
      <c r="AA47" s="1">
        <v>509</v>
      </c>
      <c r="AB47" s="1">
        <v>523</v>
      </c>
      <c r="AC47" s="1">
        <v>532</v>
      </c>
      <c r="AD47" s="1">
        <v>537</v>
      </c>
      <c r="AE47" s="1">
        <v>541</v>
      </c>
      <c r="AF47" s="1">
        <v>543</v>
      </c>
      <c r="AG47" s="1">
        <v>544</v>
      </c>
      <c r="AH47" s="1">
        <v>546</v>
      </c>
      <c r="AI47" s="1">
        <v>749</v>
      </c>
      <c r="AJ47" s="1">
        <v>750</v>
      </c>
      <c r="AK47" s="1">
        <v>754</v>
      </c>
      <c r="AL47" s="1">
        <v>755</v>
      </c>
      <c r="AM47" s="1">
        <v>756</v>
      </c>
      <c r="AN47" s="1">
        <v>756</v>
      </c>
      <c r="AO47" s="1">
        <v>756</v>
      </c>
      <c r="AP47" s="1">
        <v>756</v>
      </c>
      <c r="AQ47" s="1">
        <v>756</v>
      </c>
      <c r="AR47" s="1">
        <v>758</v>
      </c>
      <c r="AS47" s="1">
        <v>758</v>
      </c>
      <c r="AT47" s="1">
        <v>758</v>
      </c>
      <c r="AU47" s="1">
        <v>758</v>
      </c>
      <c r="AV47" s="1">
        <v>758</v>
      </c>
      <c r="AW47" s="1">
        <v>758</v>
      </c>
      <c r="AX47" s="1">
        <v>758</v>
      </c>
      <c r="AY47" s="1">
        <v>758</v>
      </c>
      <c r="AZ47" s="1">
        <v>758</v>
      </c>
      <c r="BA47" s="1">
        <v>758</v>
      </c>
      <c r="BB47" s="1">
        <v>760</v>
      </c>
      <c r="BC47" s="1">
        <v>760</v>
      </c>
      <c r="BD47">
        <v>760</v>
      </c>
      <c r="BE47">
        <v>760</v>
      </c>
      <c r="BF47">
        <v>760</v>
      </c>
      <c r="BG47">
        <v>760</v>
      </c>
      <c r="BH47">
        <v>761</v>
      </c>
      <c r="BI47">
        <v>761</v>
      </c>
      <c r="BJ47">
        <v>761</v>
      </c>
      <c r="BK47">
        <v>762</v>
      </c>
      <c r="BL47">
        <v>764</v>
      </c>
      <c r="BM47">
        <v>767</v>
      </c>
      <c r="BN47">
        <v>768</v>
      </c>
      <c r="BO47">
        <v>768</v>
      </c>
    </row>
    <row r="48" spans="1:67" hidden="1" x14ac:dyDescent="0.3">
      <c r="A48" s="1" t="s">
        <v>23</v>
      </c>
      <c r="B48" s="1" t="s">
        <v>202</v>
      </c>
      <c r="C48" s="1">
        <v>31.202000000000002</v>
      </c>
      <c r="D48" s="1">
        <v>121.4491</v>
      </c>
      <c r="E48" s="1">
        <v>9</v>
      </c>
      <c r="F48" s="1">
        <v>16</v>
      </c>
      <c r="G48" s="1">
        <v>20</v>
      </c>
      <c r="H48" s="1">
        <v>33</v>
      </c>
      <c r="I48" s="1">
        <v>40</v>
      </c>
      <c r="J48" s="1">
        <v>53</v>
      </c>
      <c r="K48" s="1">
        <v>66</v>
      </c>
      <c r="L48" s="1">
        <v>96</v>
      </c>
      <c r="M48" s="1">
        <v>112</v>
      </c>
      <c r="N48" s="1">
        <v>135</v>
      </c>
      <c r="O48" s="1">
        <v>169</v>
      </c>
      <c r="P48" s="1">
        <v>182</v>
      </c>
      <c r="Q48" s="1">
        <v>203</v>
      </c>
      <c r="R48" s="1">
        <v>219</v>
      </c>
      <c r="S48" s="1">
        <v>243</v>
      </c>
      <c r="T48" s="1">
        <v>257</v>
      </c>
      <c r="U48" s="1">
        <v>277</v>
      </c>
      <c r="V48" s="1">
        <v>286</v>
      </c>
      <c r="W48" s="1">
        <v>293</v>
      </c>
      <c r="X48" s="1">
        <v>299</v>
      </c>
      <c r="Y48" s="1">
        <v>303</v>
      </c>
      <c r="Z48" s="1">
        <v>311</v>
      </c>
      <c r="AA48" s="1">
        <v>315</v>
      </c>
      <c r="AB48" s="1">
        <v>318</v>
      </c>
      <c r="AC48" s="1">
        <v>326</v>
      </c>
      <c r="AD48" s="1">
        <v>328</v>
      </c>
      <c r="AE48" s="1">
        <v>333</v>
      </c>
      <c r="AF48" s="1">
        <v>333</v>
      </c>
      <c r="AG48" s="1">
        <v>333</v>
      </c>
      <c r="AH48" s="1">
        <v>334</v>
      </c>
      <c r="AI48" s="1">
        <v>334</v>
      </c>
      <c r="AJ48" s="1">
        <v>335</v>
      </c>
      <c r="AK48" s="1">
        <v>335</v>
      </c>
      <c r="AL48" s="1">
        <v>335</v>
      </c>
      <c r="AM48" s="1">
        <v>336</v>
      </c>
      <c r="AN48" s="1">
        <v>337</v>
      </c>
      <c r="AO48" s="1">
        <v>337</v>
      </c>
      <c r="AP48" s="1">
        <v>337</v>
      </c>
      <c r="AQ48" s="1">
        <v>337</v>
      </c>
      <c r="AR48" s="1">
        <v>337</v>
      </c>
      <c r="AS48" s="1">
        <v>337</v>
      </c>
      <c r="AT48" s="1">
        <v>338</v>
      </c>
      <c r="AU48" s="1">
        <v>338</v>
      </c>
      <c r="AV48" s="1">
        <v>339</v>
      </c>
      <c r="AW48" s="1">
        <v>342</v>
      </c>
      <c r="AX48" s="1">
        <v>342</v>
      </c>
      <c r="AY48" s="1">
        <v>342</v>
      </c>
      <c r="AZ48" s="1">
        <v>342</v>
      </c>
      <c r="BA48" s="1">
        <v>344</v>
      </c>
      <c r="BB48" s="1">
        <v>344</v>
      </c>
      <c r="BC48" s="1">
        <v>344</v>
      </c>
      <c r="BD48">
        <v>346</v>
      </c>
      <c r="BE48">
        <v>353</v>
      </c>
      <c r="BF48">
        <v>353</v>
      </c>
      <c r="BG48">
        <v>355</v>
      </c>
      <c r="BH48">
        <v>358</v>
      </c>
      <c r="BI48">
        <v>361</v>
      </c>
      <c r="BJ48">
        <v>363</v>
      </c>
      <c r="BK48">
        <v>371</v>
      </c>
      <c r="BL48">
        <v>380</v>
      </c>
      <c r="BM48">
        <v>404</v>
      </c>
      <c r="BN48">
        <v>404</v>
      </c>
      <c r="BO48">
        <v>414</v>
      </c>
    </row>
    <row r="49" spans="1:67" hidden="1" x14ac:dyDescent="0.3">
      <c r="A49" s="1" t="s">
        <v>24</v>
      </c>
      <c r="B49" s="1" t="s">
        <v>202</v>
      </c>
      <c r="C49" s="1">
        <v>37.5777</v>
      </c>
      <c r="D49" s="1">
        <v>112.29219999999999</v>
      </c>
      <c r="E49" s="1">
        <v>1</v>
      </c>
      <c r="F49" s="1">
        <v>1</v>
      </c>
      <c r="G49" s="1">
        <v>1</v>
      </c>
      <c r="H49" s="1">
        <v>6</v>
      </c>
      <c r="I49" s="1">
        <v>9</v>
      </c>
      <c r="J49" s="1">
        <v>13</v>
      </c>
      <c r="K49" s="1">
        <v>27</v>
      </c>
      <c r="L49" s="1">
        <v>27</v>
      </c>
      <c r="M49" s="1">
        <v>35</v>
      </c>
      <c r="N49" s="1">
        <v>39</v>
      </c>
      <c r="O49" s="1">
        <v>47</v>
      </c>
      <c r="P49" s="1">
        <v>66</v>
      </c>
      <c r="Q49" s="1">
        <v>74</v>
      </c>
      <c r="R49" s="1">
        <v>81</v>
      </c>
      <c r="S49" s="1">
        <v>81</v>
      </c>
      <c r="T49" s="1">
        <v>96</v>
      </c>
      <c r="U49" s="1">
        <v>104</v>
      </c>
      <c r="V49" s="1">
        <v>115</v>
      </c>
      <c r="W49" s="1">
        <v>119</v>
      </c>
      <c r="X49" s="1">
        <v>119</v>
      </c>
      <c r="Y49" s="1">
        <v>124</v>
      </c>
      <c r="Z49" s="1">
        <v>126</v>
      </c>
      <c r="AA49" s="1">
        <v>126</v>
      </c>
      <c r="AB49" s="1">
        <v>127</v>
      </c>
      <c r="AC49" s="1">
        <v>128</v>
      </c>
      <c r="AD49" s="1">
        <v>129</v>
      </c>
      <c r="AE49" s="1">
        <v>130</v>
      </c>
      <c r="AF49" s="1">
        <v>131</v>
      </c>
      <c r="AG49" s="1">
        <v>131</v>
      </c>
      <c r="AH49" s="1">
        <v>132</v>
      </c>
      <c r="AI49" s="1">
        <v>132</v>
      </c>
      <c r="AJ49" s="1">
        <v>132</v>
      </c>
      <c r="AK49" s="1">
        <v>132</v>
      </c>
      <c r="AL49" s="1">
        <v>133</v>
      </c>
      <c r="AM49" s="1">
        <v>133</v>
      </c>
      <c r="AN49" s="1">
        <v>133</v>
      </c>
      <c r="AO49" s="1">
        <v>133</v>
      </c>
      <c r="AP49" s="1">
        <v>133</v>
      </c>
      <c r="AQ49" s="1">
        <v>133</v>
      </c>
      <c r="AR49" s="1">
        <v>133</v>
      </c>
      <c r="AS49" s="1">
        <v>133</v>
      </c>
      <c r="AT49" s="1">
        <v>133</v>
      </c>
      <c r="AU49" s="1">
        <v>133</v>
      </c>
      <c r="AV49" s="1">
        <v>133</v>
      </c>
      <c r="AW49" s="1">
        <v>133</v>
      </c>
      <c r="AX49" s="1">
        <v>133</v>
      </c>
      <c r="AY49" s="1">
        <v>133</v>
      </c>
      <c r="AZ49" s="1">
        <v>133</v>
      </c>
      <c r="BA49" s="1">
        <v>133</v>
      </c>
      <c r="BB49" s="1">
        <v>133</v>
      </c>
      <c r="BC49" s="1">
        <v>133</v>
      </c>
      <c r="BD49">
        <v>133</v>
      </c>
      <c r="BE49">
        <v>133</v>
      </c>
      <c r="BF49">
        <v>133</v>
      </c>
      <c r="BG49">
        <v>133</v>
      </c>
      <c r="BH49">
        <v>133</v>
      </c>
      <c r="BI49">
        <v>133</v>
      </c>
      <c r="BJ49">
        <v>133</v>
      </c>
      <c r="BK49">
        <v>133</v>
      </c>
      <c r="BL49">
        <v>133</v>
      </c>
      <c r="BM49">
        <v>133</v>
      </c>
      <c r="BN49">
        <v>134</v>
      </c>
      <c r="BO49">
        <v>134</v>
      </c>
    </row>
    <row r="50" spans="1:67" hidden="1" x14ac:dyDescent="0.3">
      <c r="A50" s="1" t="s">
        <v>25</v>
      </c>
      <c r="B50" s="1" t="s">
        <v>202</v>
      </c>
      <c r="C50" s="1">
        <v>30.617100000000001</v>
      </c>
      <c r="D50" s="1">
        <v>102.7103</v>
      </c>
      <c r="E50" s="1">
        <v>5</v>
      </c>
      <c r="F50" s="1">
        <v>8</v>
      </c>
      <c r="G50" s="1">
        <v>15</v>
      </c>
      <c r="H50" s="1">
        <v>28</v>
      </c>
      <c r="I50" s="1">
        <v>44</v>
      </c>
      <c r="J50" s="1">
        <v>69</v>
      </c>
      <c r="K50" s="1">
        <v>90</v>
      </c>
      <c r="L50" s="1">
        <v>108</v>
      </c>
      <c r="M50" s="1">
        <v>142</v>
      </c>
      <c r="N50" s="1">
        <v>177</v>
      </c>
      <c r="O50" s="1">
        <v>207</v>
      </c>
      <c r="P50" s="1">
        <v>231</v>
      </c>
      <c r="Q50" s="1">
        <v>254</v>
      </c>
      <c r="R50" s="1">
        <v>282</v>
      </c>
      <c r="S50" s="1">
        <v>301</v>
      </c>
      <c r="T50" s="1">
        <v>321</v>
      </c>
      <c r="U50" s="1">
        <v>344</v>
      </c>
      <c r="V50" s="1">
        <v>364</v>
      </c>
      <c r="W50" s="1">
        <v>386</v>
      </c>
      <c r="X50" s="1">
        <v>405</v>
      </c>
      <c r="Y50" s="1">
        <v>417</v>
      </c>
      <c r="Z50" s="1">
        <v>436</v>
      </c>
      <c r="AA50" s="1">
        <v>451</v>
      </c>
      <c r="AB50" s="1">
        <v>463</v>
      </c>
      <c r="AC50" s="1">
        <v>470</v>
      </c>
      <c r="AD50" s="1">
        <v>481</v>
      </c>
      <c r="AE50" s="1">
        <v>495</v>
      </c>
      <c r="AF50" s="1">
        <v>508</v>
      </c>
      <c r="AG50" s="1">
        <v>514</v>
      </c>
      <c r="AH50" s="1">
        <v>520</v>
      </c>
      <c r="AI50" s="1">
        <v>525</v>
      </c>
      <c r="AJ50" s="1">
        <v>526</v>
      </c>
      <c r="AK50" s="1">
        <v>526</v>
      </c>
      <c r="AL50" s="1">
        <v>527</v>
      </c>
      <c r="AM50" s="1">
        <v>529</v>
      </c>
      <c r="AN50" s="1">
        <v>531</v>
      </c>
      <c r="AO50" s="1">
        <v>534</v>
      </c>
      <c r="AP50" s="1">
        <v>538</v>
      </c>
      <c r="AQ50" s="1">
        <v>538</v>
      </c>
      <c r="AR50" s="1">
        <v>538</v>
      </c>
      <c r="AS50" s="1">
        <v>538</v>
      </c>
      <c r="AT50" s="1">
        <v>538</v>
      </c>
      <c r="AU50" s="1">
        <v>538</v>
      </c>
      <c r="AV50" s="1">
        <v>539</v>
      </c>
      <c r="AW50" s="1">
        <v>539</v>
      </c>
      <c r="AX50" s="1">
        <v>539</v>
      </c>
      <c r="AY50" s="1">
        <v>539</v>
      </c>
      <c r="AZ50" s="1">
        <v>539</v>
      </c>
      <c r="BA50" s="1">
        <v>539</v>
      </c>
      <c r="BB50" s="1">
        <v>539</v>
      </c>
      <c r="BC50" s="1">
        <v>539</v>
      </c>
      <c r="BD50">
        <v>539</v>
      </c>
      <c r="BE50">
        <v>539</v>
      </c>
      <c r="BF50">
        <v>539</v>
      </c>
      <c r="BG50">
        <v>539</v>
      </c>
      <c r="BH50">
        <v>540</v>
      </c>
      <c r="BI50">
        <v>540</v>
      </c>
      <c r="BJ50">
        <v>540</v>
      </c>
      <c r="BK50">
        <v>541</v>
      </c>
      <c r="BL50">
        <v>542</v>
      </c>
      <c r="BM50">
        <v>543</v>
      </c>
      <c r="BN50">
        <v>543</v>
      </c>
      <c r="BO50">
        <v>545</v>
      </c>
    </row>
    <row r="51" spans="1:67" hidden="1" x14ac:dyDescent="0.3">
      <c r="A51" s="1" t="s">
        <v>26</v>
      </c>
      <c r="B51" s="1" t="s">
        <v>202</v>
      </c>
      <c r="C51" s="1">
        <v>39.305399999999999</v>
      </c>
      <c r="D51" s="1">
        <v>117.32299999999999</v>
      </c>
      <c r="E51" s="1">
        <v>4</v>
      </c>
      <c r="F51" s="1">
        <v>4</v>
      </c>
      <c r="G51" s="1">
        <v>8</v>
      </c>
      <c r="H51" s="1">
        <v>10</v>
      </c>
      <c r="I51" s="1">
        <v>14</v>
      </c>
      <c r="J51" s="1">
        <v>23</v>
      </c>
      <c r="K51" s="1">
        <v>24</v>
      </c>
      <c r="L51" s="1">
        <v>27</v>
      </c>
      <c r="M51" s="1">
        <v>31</v>
      </c>
      <c r="N51" s="1">
        <v>32</v>
      </c>
      <c r="O51" s="1">
        <v>41</v>
      </c>
      <c r="P51" s="1">
        <v>48</v>
      </c>
      <c r="Q51" s="1">
        <v>60</v>
      </c>
      <c r="R51" s="1">
        <v>67</v>
      </c>
      <c r="S51" s="1">
        <v>69</v>
      </c>
      <c r="T51" s="1">
        <v>79</v>
      </c>
      <c r="U51" s="1">
        <v>81</v>
      </c>
      <c r="V51" s="1">
        <v>88</v>
      </c>
      <c r="W51" s="1">
        <v>91</v>
      </c>
      <c r="X51" s="1">
        <v>95</v>
      </c>
      <c r="Y51" s="1">
        <v>106</v>
      </c>
      <c r="Z51" s="1">
        <v>112</v>
      </c>
      <c r="AA51" s="1">
        <v>119</v>
      </c>
      <c r="AB51" s="1">
        <v>120</v>
      </c>
      <c r="AC51" s="1">
        <v>122</v>
      </c>
      <c r="AD51" s="1">
        <v>124</v>
      </c>
      <c r="AE51" s="1">
        <v>125</v>
      </c>
      <c r="AF51" s="1">
        <v>128</v>
      </c>
      <c r="AG51" s="1">
        <v>130</v>
      </c>
      <c r="AH51" s="1">
        <v>131</v>
      </c>
      <c r="AI51" s="1">
        <v>132</v>
      </c>
      <c r="AJ51" s="1">
        <v>135</v>
      </c>
      <c r="AK51" s="1">
        <v>135</v>
      </c>
      <c r="AL51" s="1">
        <v>135</v>
      </c>
      <c r="AM51" s="1">
        <v>135</v>
      </c>
      <c r="AN51" s="1">
        <v>135</v>
      </c>
      <c r="AO51" s="1">
        <v>136</v>
      </c>
      <c r="AP51" s="1">
        <v>136</v>
      </c>
      <c r="AQ51" s="1">
        <v>136</v>
      </c>
      <c r="AR51" s="1">
        <v>136</v>
      </c>
      <c r="AS51" s="1">
        <v>136</v>
      </c>
      <c r="AT51" s="1">
        <v>136</v>
      </c>
      <c r="AU51" s="1">
        <v>136</v>
      </c>
      <c r="AV51" s="1">
        <v>136</v>
      </c>
      <c r="AW51" s="1">
        <v>136</v>
      </c>
      <c r="AX51" s="1">
        <v>136</v>
      </c>
      <c r="AY51" s="1">
        <v>136</v>
      </c>
      <c r="AZ51" s="1">
        <v>136</v>
      </c>
      <c r="BA51" s="1">
        <v>136</v>
      </c>
      <c r="BB51" s="1">
        <v>136</v>
      </c>
      <c r="BC51" s="1">
        <v>136</v>
      </c>
      <c r="BD51">
        <v>136</v>
      </c>
      <c r="BE51">
        <v>136</v>
      </c>
      <c r="BF51">
        <v>136</v>
      </c>
      <c r="BG51">
        <v>136</v>
      </c>
      <c r="BH51">
        <v>136</v>
      </c>
      <c r="BI51">
        <v>136</v>
      </c>
      <c r="BJ51">
        <v>137</v>
      </c>
      <c r="BK51">
        <v>137</v>
      </c>
      <c r="BL51">
        <v>137</v>
      </c>
      <c r="BM51">
        <v>137</v>
      </c>
      <c r="BN51">
        <v>141</v>
      </c>
      <c r="BO51">
        <v>145</v>
      </c>
    </row>
    <row r="52" spans="1:67" hidden="1" x14ac:dyDescent="0.3">
      <c r="A52" s="1" t="s">
        <v>54</v>
      </c>
      <c r="B52" s="1" t="s">
        <v>202</v>
      </c>
      <c r="C52" s="1">
        <v>31.692699999999999</v>
      </c>
      <c r="D52" s="1">
        <v>88.092399999999998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1</v>
      </c>
      <c r="P52" s="1">
        <v>1</v>
      </c>
      <c r="Q52" s="1">
        <v>1</v>
      </c>
      <c r="R52" s="1">
        <v>1</v>
      </c>
      <c r="S52" s="1">
        <v>1</v>
      </c>
      <c r="T52" s="1">
        <v>1</v>
      </c>
      <c r="U52" s="1">
        <v>1</v>
      </c>
      <c r="V52" s="1">
        <v>1</v>
      </c>
      <c r="W52" s="1">
        <v>1</v>
      </c>
      <c r="X52" s="1">
        <v>1</v>
      </c>
      <c r="Y52" s="1">
        <v>1</v>
      </c>
      <c r="Z52" s="1">
        <v>1</v>
      </c>
      <c r="AA52" s="1">
        <v>1</v>
      </c>
      <c r="AB52" s="1">
        <v>1</v>
      </c>
      <c r="AC52" s="1">
        <v>1</v>
      </c>
      <c r="AD52" s="1">
        <v>1</v>
      </c>
      <c r="AE52" s="1">
        <v>1</v>
      </c>
      <c r="AF52" s="1">
        <v>1</v>
      </c>
      <c r="AG52" s="1">
        <v>1</v>
      </c>
      <c r="AH52" s="1">
        <v>1</v>
      </c>
      <c r="AI52" s="1">
        <v>1</v>
      </c>
      <c r="AJ52" s="1">
        <v>1</v>
      </c>
      <c r="AK52" s="1">
        <v>1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1</v>
      </c>
      <c r="AR52" s="1">
        <v>1</v>
      </c>
      <c r="AS52" s="1">
        <v>1</v>
      </c>
      <c r="AT52" s="1">
        <v>1</v>
      </c>
      <c r="AU52" s="1">
        <v>1</v>
      </c>
      <c r="AV52" s="1">
        <v>1</v>
      </c>
      <c r="AW52" s="1">
        <v>1</v>
      </c>
      <c r="AX52" s="1">
        <v>1</v>
      </c>
      <c r="AY52" s="1">
        <v>1</v>
      </c>
      <c r="AZ52" s="1">
        <v>1</v>
      </c>
      <c r="BA52" s="1">
        <v>1</v>
      </c>
      <c r="BB52" s="1">
        <v>1</v>
      </c>
      <c r="BC52" s="1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</row>
    <row r="53" spans="1:67" hidden="1" x14ac:dyDescent="0.3">
      <c r="A53" s="1" t="s">
        <v>35</v>
      </c>
      <c r="B53" s="1" t="s">
        <v>202</v>
      </c>
      <c r="C53" s="1">
        <v>41.112900000000003</v>
      </c>
      <c r="D53" s="1">
        <v>85.240099999999998</v>
      </c>
      <c r="E53" s="1">
        <v>0</v>
      </c>
      <c r="F53" s="1">
        <v>2</v>
      </c>
      <c r="G53" s="1">
        <v>2</v>
      </c>
      <c r="H53" s="1">
        <v>3</v>
      </c>
      <c r="I53" s="1">
        <v>4</v>
      </c>
      <c r="J53" s="1">
        <v>5</v>
      </c>
      <c r="K53" s="1">
        <v>10</v>
      </c>
      <c r="L53" s="1">
        <v>13</v>
      </c>
      <c r="M53" s="1">
        <v>14</v>
      </c>
      <c r="N53" s="1">
        <v>17</v>
      </c>
      <c r="O53" s="1">
        <v>18</v>
      </c>
      <c r="P53" s="1">
        <v>21</v>
      </c>
      <c r="Q53" s="1">
        <v>24</v>
      </c>
      <c r="R53" s="1">
        <v>29</v>
      </c>
      <c r="S53" s="1">
        <v>32</v>
      </c>
      <c r="T53" s="1">
        <v>36</v>
      </c>
      <c r="U53" s="1">
        <v>39</v>
      </c>
      <c r="V53" s="1">
        <v>42</v>
      </c>
      <c r="W53" s="1">
        <v>45</v>
      </c>
      <c r="X53" s="1">
        <v>49</v>
      </c>
      <c r="Y53" s="1">
        <v>55</v>
      </c>
      <c r="Z53" s="1">
        <v>59</v>
      </c>
      <c r="AA53" s="1">
        <v>63</v>
      </c>
      <c r="AB53" s="1">
        <v>65</v>
      </c>
      <c r="AC53" s="1">
        <v>70</v>
      </c>
      <c r="AD53" s="1">
        <v>71</v>
      </c>
      <c r="AE53" s="1">
        <v>75</v>
      </c>
      <c r="AF53" s="1">
        <v>76</v>
      </c>
      <c r="AG53" s="1">
        <v>76</v>
      </c>
      <c r="AH53" s="1">
        <v>76</v>
      </c>
      <c r="AI53" s="1">
        <v>76</v>
      </c>
      <c r="AJ53" s="1">
        <v>76</v>
      </c>
      <c r="AK53" s="1">
        <v>76</v>
      </c>
      <c r="AL53" s="1">
        <v>76</v>
      </c>
      <c r="AM53" s="1">
        <v>76</v>
      </c>
      <c r="AN53" s="1">
        <v>76</v>
      </c>
      <c r="AO53" s="1">
        <v>76</v>
      </c>
      <c r="AP53" s="1">
        <v>76</v>
      </c>
      <c r="AQ53" s="1">
        <v>76</v>
      </c>
      <c r="AR53" s="1">
        <v>76</v>
      </c>
      <c r="AS53" s="1">
        <v>76</v>
      </c>
      <c r="AT53" s="1">
        <v>76</v>
      </c>
      <c r="AU53" s="1">
        <v>76</v>
      </c>
      <c r="AV53" s="1">
        <v>76</v>
      </c>
      <c r="AW53" s="1">
        <v>76</v>
      </c>
      <c r="AX53" s="1">
        <v>76</v>
      </c>
      <c r="AY53" s="1">
        <v>76</v>
      </c>
      <c r="AZ53" s="1">
        <v>76</v>
      </c>
      <c r="BA53" s="1">
        <v>76</v>
      </c>
      <c r="BB53" s="1">
        <v>76</v>
      </c>
      <c r="BC53" s="1">
        <v>76</v>
      </c>
      <c r="BD53">
        <v>76</v>
      </c>
      <c r="BE53">
        <v>76</v>
      </c>
      <c r="BF53">
        <v>76</v>
      </c>
      <c r="BG53">
        <v>76</v>
      </c>
      <c r="BH53">
        <v>76</v>
      </c>
      <c r="BI53">
        <v>76</v>
      </c>
      <c r="BJ53">
        <v>76</v>
      </c>
      <c r="BK53">
        <v>76</v>
      </c>
      <c r="BL53">
        <v>76</v>
      </c>
      <c r="BM53">
        <v>76</v>
      </c>
      <c r="BN53">
        <v>76</v>
      </c>
      <c r="BO53">
        <v>76</v>
      </c>
    </row>
    <row r="54" spans="1:67" hidden="1" x14ac:dyDescent="0.3">
      <c r="A54" s="1" t="s">
        <v>27</v>
      </c>
      <c r="B54" s="1" t="s">
        <v>202</v>
      </c>
      <c r="C54" s="1">
        <v>24.974</v>
      </c>
      <c r="D54" s="1">
        <v>101.48699999999999</v>
      </c>
      <c r="E54" s="1">
        <v>1</v>
      </c>
      <c r="F54" s="1">
        <v>2</v>
      </c>
      <c r="G54" s="1">
        <v>5</v>
      </c>
      <c r="H54" s="1">
        <v>11</v>
      </c>
      <c r="I54" s="1">
        <v>16</v>
      </c>
      <c r="J54" s="1">
        <v>26</v>
      </c>
      <c r="K54" s="1">
        <v>44</v>
      </c>
      <c r="L54" s="1">
        <v>55</v>
      </c>
      <c r="M54" s="1">
        <v>70</v>
      </c>
      <c r="N54" s="1">
        <v>83</v>
      </c>
      <c r="O54" s="1">
        <v>93</v>
      </c>
      <c r="P54" s="1">
        <v>105</v>
      </c>
      <c r="Q54" s="1">
        <v>117</v>
      </c>
      <c r="R54" s="1">
        <v>122</v>
      </c>
      <c r="S54" s="1">
        <v>128</v>
      </c>
      <c r="T54" s="1">
        <v>133</v>
      </c>
      <c r="U54" s="1">
        <v>138</v>
      </c>
      <c r="V54" s="1">
        <v>138</v>
      </c>
      <c r="W54" s="1">
        <v>141</v>
      </c>
      <c r="X54" s="1">
        <v>149</v>
      </c>
      <c r="Y54" s="1">
        <v>153</v>
      </c>
      <c r="Z54" s="1">
        <v>154</v>
      </c>
      <c r="AA54" s="1">
        <v>156</v>
      </c>
      <c r="AB54" s="1">
        <v>162</v>
      </c>
      <c r="AC54" s="1">
        <v>168</v>
      </c>
      <c r="AD54" s="1">
        <v>171</v>
      </c>
      <c r="AE54" s="1">
        <v>171</v>
      </c>
      <c r="AF54" s="1">
        <v>172</v>
      </c>
      <c r="AG54" s="1">
        <v>172</v>
      </c>
      <c r="AH54" s="1">
        <v>174</v>
      </c>
      <c r="AI54" s="1">
        <v>174</v>
      </c>
      <c r="AJ54" s="1">
        <v>174</v>
      </c>
      <c r="AK54" s="1">
        <v>174</v>
      </c>
      <c r="AL54" s="1">
        <v>174</v>
      </c>
      <c r="AM54" s="1">
        <v>174</v>
      </c>
      <c r="AN54" s="1">
        <v>174</v>
      </c>
      <c r="AO54" s="1">
        <v>174</v>
      </c>
      <c r="AP54" s="1">
        <v>174</v>
      </c>
      <c r="AQ54" s="1">
        <v>174</v>
      </c>
      <c r="AR54" s="1">
        <v>174</v>
      </c>
      <c r="AS54" s="1">
        <v>174</v>
      </c>
      <c r="AT54" s="1">
        <v>174</v>
      </c>
      <c r="AU54" s="1">
        <v>174</v>
      </c>
      <c r="AV54" s="1">
        <v>174</v>
      </c>
      <c r="AW54" s="1">
        <v>174</v>
      </c>
      <c r="AX54" s="1">
        <v>174</v>
      </c>
      <c r="AY54" s="1">
        <v>174</v>
      </c>
      <c r="AZ54" s="1">
        <v>174</v>
      </c>
      <c r="BA54" s="1">
        <v>174</v>
      </c>
      <c r="BB54" s="1">
        <v>174</v>
      </c>
      <c r="BC54" s="1">
        <v>174</v>
      </c>
      <c r="BD54">
        <v>174</v>
      </c>
      <c r="BE54">
        <v>174</v>
      </c>
      <c r="BF54">
        <v>174</v>
      </c>
      <c r="BG54">
        <v>176</v>
      </c>
      <c r="BH54">
        <v>176</v>
      </c>
      <c r="BI54">
        <v>176</v>
      </c>
      <c r="BJ54">
        <v>176</v>
      </c>
      <c r="BK54">
        <v>176</v>
      </c>
      <c r="BL54">
        <v>176</v>
      </c>
      <c r="BM54">
        <v>176</v>
      </c>
      <c r="BN54">
        <v>176</v>
      </c>
      <c r="BO54">
        <v>176</v>
      </c>
    </row>
    <row r="55" spans="1:67" hidden="1" x14ac:dyDescent="0.3">
      <c r="A55" s="1" t="s">
        <v>28</v>
      </c>
      <c r="B55" s="1" t="s">
        <v>202</v>
      </c>
      <c r="C55" s="1">
        <v>29.183199999999999</v>
      </c>
      <c r="D55" s="1">
        <v>120.0934</v>
      </c>
      <c r="E55" s="1">
        <v>10</v>
      </c>
      <c r="F55" s="1">
        <v>27</v>
      </c>
      <c r="G55" s="1">
        <v>43</v>
      </c>
      <c r="H55" s="1">
        <v>62</v>
      </c>
      <c r="I55" s="1">
        <v>104</v>
      </c>
      <c r="J55" s="1">
        <v>128</v>
      </c>
      <c r="K55" s="1">
        <v>173</v>
      </c>
      <c r="L55" s="1">
        <v>296</v>
      </c>
      <c r="M55" s="1">
        <v>428</v>
      </c>
      <c r="N55" s="1">
        <v>538</v>
      </c>
      <c r="O55" s="1">
        <v>599</v>
      </c>
      <c r="P55" s="1">
        <v>661</v>
      </c>
      <c r="Q55" s="1">
        <v>724</v>
      </c>
      <c r="R55" s="1">
        <v>829</v>
      </c>
      <c r="S55" s="1">
        <v>895</v>
      </c>
      <c r="T55" s="1">
        <v>954</v>
      </c>
      <c r="U55" s="1">
        <v>1006</v>
      </c>
      <c r="V55" s="1">
        <v>1048</v>
      </c>
      <c r="W55" s="1">
        <v>1075</v>
      </c>
      <c r="X55" s="1">
        <v>1092</v>
      </c>
      <c r="Y55" s="1">
        <v>1117</v>
      </c>
      <c r="Z55" s="1">
        <v>1131</v>
      </c>
      <c r="AA55" s="1">
        <v>1145</v>
      </c>
      <c r="AB55" s="1">
        <v>1155</v>
      </c>
      <c r="AC55" s="1">
        <v>1162</v>
      </c>
      <c r="AD55" s="1">
        <v>1167</v>
      </c>
      <c r="AE55" s="1">
        <v>1171</v>
      </c>
      <c r="AF55" s="1">
        <v>1172</v>
      </c>
      <c r="AG55" s="1">
        <v>1174</v>
      </c>
      <c r="AH55" s="1">
        <v>1175</v>
      </c>
      <c r="AI55" s="1">
        <v>1203</v>
      </c>
      <c r="AJ55" s="1">
        <v>1205</v>
      </c>
      <c r="AK55" s="1">
        <v>1205</v>
      </c>
      <c r="AL55" s="1">
        <v>1205</v>
      </c>
      <c r="AM55" s="1">
        <v>1205</v>
      </c>
      <c r="AN55" s="1">
        <v>1205</v>
      </c>
      <c r="AO55" s="1">
        <v>1205</v>
      </c>
      <c r="AP55" s="1">
        <v>1205</v>
      </c>
      <c r="AQ55" s="1">
        <v>1205</v>
      </c>
      <c r="AR55" s="1">
        <v>1205</v>
      </c>
      <c r="AS55" s="1">
        <v>1206</v>
      </c>
      <c r="AT55" s="1">
        <v>1213</v>
      </c>
      <c r="AU55" s="1">
        <v>1213</v>
      </c>
      <c r="AV55" s="1">
        <v>1215</v>
      </c>
      <c r="AW55" s="1">
        <v>1215</v>
      </c>
      <c r="AX55" s="1">
        <v>1215</v>
      </c>
      <c r="AY55" s="1">
        <v>1215</v>
      </c>
      <c r="AZ55" s="1">
        <v>1215</v>
      </c>
      <c r="BA55" s="1">
        <v>1215</v>
      </c>
      <c r="BB55" s="1">
        <v>1215</v>
      </c>
      <c r="BC55" s="1">
        <v>1215</v>
      </c>
      <c r="BD55">
        <v>1215</v>
      </c>
      <c r="BE55">
        <v>1227</v>
      </c>
      <c r="BF55">
        <v>1231</v>
      </c>
      <c r="BG55">
        <v>1231</v>
      </c>
      <c r="BH55">
        <v>1232</v>
      </c>
      <c r="BI55">
        <v>1232</v>
      </c>
      <c r="BJ55">
        <v>1233</v>
      </c>
      <c r="BK55">
        <v>1234</v>
      </c>
      <c r="BL55">
        <v>1236</v>
      </c>
      <c r="BM55">
        <v>1238</v>
      </c>
      <c r="BN55">
        <v>1238</v>
      </c>
      <c r="BO55">
        <v>1240</v>
      </c>
    </row>
    <row r="56" spans="1:67" hidden="1" x14ac:dyDescent="0.3">
      <c r="A56" s="1" t="s">
        <v>110</v>
      </c>
      <c r="B56" s="1" t="s">
        <v>79</v>
      </c>
      <c r="C56" s="1">
        <v>61.892600000000002</v>
      </c>
      <c r="D56" s="1">
        <v>-6.9118000000000004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1</v>
      </c>
      <c r="AV56" s="1">
        <v>1</v>
      </c>
      <c r="AW56" s="1">
        <v>1</v>
      </c>
      <c r="AX56" s="1">
        <v>1</v>
      </c>
      <c r="AY56" s="1">
        <v>2</v>
      </c>
      <c r="AZ56" s="1">
        <v>2</v>
      </c>
      <c r="BA56" s="1">
        <v>2</v>
      </c>
      <c r="BB56" s="1">
        <v>2</v>
      </c>
      <c r="BC56" s="1">
        <v>2</v>
      </c>
      <c r="BD56">
        <v>3</v>
      </c>
      <c r="BE56">
        <v>9</v>
      </c>
      <c r="BF56">
        <v>11</v>
      </c>
      <c r="BG56">
        <v>18</v>
      </c>
      <c r="BH56">
        <v>47</v>
      </c>
      <c r="BI56">
        <v>58</v>
      </c>
      <c r="BJ56">
        <v>72</v>
      </c>
      <c r="BK56">
        <v>80</v>
      </c>
      <c r="BL56">
        <v>92</v>
      </c>
      <c r="BM56">
        <v>115</v>
      </c>
      <c r="BN56">
        <v>118</v>
      </c>
      <c r="BO56">
        <v>122</v>
      </c>
    </row>
    <row r="57" spans="1:67" hidden="1" x14ac:dyDescent="0.3">
      <c r="A57" s="1" t="s">
        <v>318</v>
      </c>
      <c r="B57" s="1" t="s">
        <v>79</v>
      </c>
      <c r="C57" s="1">
        <v>71.706900000000005</v>
      </c>
      <c r="D57" s="1">
        <v>-42.604300000000002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>
        <v>0</v>
      </c>
      <c r="BE57">
        <v>0</v>
      </c>
      <c r="BF57">
        <v>0</v>
      </c>
      <c r="BG57">
        <v>1</v>
      </c>
      <c r="BH57">
        <v>1</v>
      </c>
      <c r="BI57">
        <v>1</v>
      </c>
      <c r="BJ57">
        <v>2</v>
      </c>
      <c r="BK57">
        <v>2</v>
      </c>
      <c r="BL57">
        <v>2</v>
      </c>
      <c r="BM57">
        <v>4</v>
      </c>
      <c r="BN57">
        <v>4</v>
      </c>
      <c r="BO57">
        <v>5</v>
      </c>
    </row>
    <row r="58" spans="1:67" hidden="1" x14ac:dyDescent="0.3">
      <c r="A58" s="1" t="s">
        <v>136</v>
      </c>
      <c r="B58" s="1" t="s">
        <v>79</v>
      </c>
      <c r="C58" s="1">
        <v>56.2639</v>
      </c>
      <c r="D58" s="1">
        <v>9.5017999999999994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1</v>
      </c>
      <c r="AP58" s="1">
        <v>1</v>
      </c>
      <c r="AQ58" s="1">
        <v>3</v>
      </c>
      <c r="AR58" s="1">
        <v>4</v>
      </c>
      <c r="AS58" s="1">
        <v>4</v>
      </c>
      <c r="AT58" s="1">
        <v>6</v>
      </c>
      <c r="AU58" s="1">
        <v>10</v>
      </c>
      <c r="AV58" s="1">
        <v>10</v>
      </c>
      <c r="AW58" s="1">
        <v>23</v>
      </c>
      <c r="AX58" s="1">
        <v>23</v>
      </c>
      <c r="AY58" s="1">
        <v>35</v>
      </c>
      <c r="AZ58" s="1">
        <v>90</v>
      </c>
      <c r="BA58" s="1">
        <v>262</v>
      </c>
      <c r="BB58" s="1">
        <v>442</v>
      </c>
      <c r="BC58" s="1">
        <v>615</v>
      </c>
      <c r="BD58">
        <v>801</v>
      </c>
      <c r="BE58">
        <v>827</v>
      </c>
      <c r="BF58">
        <v>864</v>
      </c>
      <c r="BG58">
        <v>914</v>
      </c>
      <c r="BH58">
        <v>977</v>
      </c>
      <c r="BI58">
        <v>1057</v>
      </c>
      <c r="BJ58">
        <v>1151</v>
      </c>
      <c r="BK58">
        <v>1255</v>
      </c>
      <c r="BL58">
        <v>1326</v>
      </c>
      <c r="BM58">
        <v>1395</v>
      </c>
      <c r="BN58">
        <v>1450</v>
      </c>
      <c r="BO58">
        <v>1591</v>
      </c>
    </row>
    <row r="59" spans="1:67" hidden="1" x14ac:dyDescent="0.3">
      <c r="A59" s="1" t="s">
        <v>129</v>
      </c>
      <c r="B59" s="1" t="s">
        <v>36</v>
      </c>
      <c r="C59" s="1">
        <v>3.9339</v>
      </c>
      <c r="D59" s="1">
        <v>-53.125799999999998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5</v>
      </c>
      <c r="AY59" s="1">
        <v>5</v>
      </c>
      <c r="AZ59" s="1">
        <v>5</v>
      </c>
      <c r="BA59" s="1">
        <v>5</v>
      </c>
      <c r="BB59" s="1">
        <v>5</v>
      </c>
      <c r="BC59" s="1">
        <v>5</v>
      </c>
      <c r="BD59">
        <v>5</v>
      </c>
      <c r="BE59">
        <v>5</v>
      </c>
      <c r="BF59">
        <v>7</v>
      </c>
      <c r="BG59">
        <v>11</v>
      </c>
      <c r="BH59">
        <v>11</v>
      </c>
      <c r="BI59">
        <v>11</v>
      </c>
      <c r="BJ59">
        <v>11</v>
      </c>
      <c r="BK59">
        <v>15</v>
      </c>
      <c r="BL59">
        <v>18</v>
      </c>
      <c r="BM59">
        <v>18</v>
      </c>
      <c r="BN59">
        <v>20</v>
      </c>
      <c r="BO59">
        <v>23</v>
      </c>
    </row>
    <row r="60" spans="1:67" hidden="1" x14ac:dyDescent="0.3">
      <c r="A60" s="1" t="s">
        <v>282</v>
      </c>
      <c r="B60" s="1" t="s">
        <v>36</v>
      </c>
      <c r="C60" s="1">
        <v>-17.6797</v>
      </c>
      <c r="D60" s="1">
        <v>149.4068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>
        <v>3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6</v>
      </c>
      <c r="BK60">
        <v>11</v>
      </c>
      <c r="BL60">
        <v>15</v>
      </c>
      <c r="BM60">
        <v>18</v>
      </c>
      <c r="BN60">
        <v>18</v>
      </c>
      <c r="BO60">
        <v>25</v>
      </c>
    </row>
    <row r="61" spans="1:67" hidden="1" x14ac:dyDescent="0.3">
      <c r="A61" s="1" t="s">
        <v>284</v>
      </c>
      <c r="B61" s="1" t="s">
        <v>36</v>
      </c>
      <c r="C61" s="1">
        <v>16.25</v>
      </c>
      <c r="D61" s="1">
        <v>-61.583300000000001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W61" s="1">
        <v>0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>
        <v>1</v>
      </c>
      <c r="BE61">
        <v>1</v>
      </c>
      <c r="BF61">
        <v>3</v>
      </c>
      <c r="BG61">
        <v>6</v>
      </c>
      <c r="BH61">
        <v>18</v>
      </c>
      <c r="BI61">
        <v>27</v>
      </c>
      <c r="BJ61">
        <v>33</v>
      </c>
      <c r="BK61">
        <v>45</v>
      </c>
      <c r="BL61">
        <v>53</v>
      </c>
      <c r="BM61">
        <v>58</v>
      </c>
      <c r="BN61">
        <v>62</v>
      </c>
      <c r="BO61">
        <v>62</v>
      </c>
    </row>
    <row r="62" spans="1:67" hidden="1" x14ac:dyDescent="0.3">
      <c r="A62" s="1" t="s">
        <v>313</v>
      </c>
      <c r="B62" s="1" t="s">
        <v>36</v>
      </c>
      <c r="C62" s="1">
        <v>-12.827500000000001</v>
      </c>
      <c r="D62" s="1">
        <v>45.166200000000003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1">
        <v>0</v>
      </c>
      <c r="AW62" s="1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>
        <v>0</v>
      </c>
      <c r="BE62">
        <v>0</v>
      </c>
      <c r="BF62">
        <v>1</v>
      </c>
      <c r="BG62">
        <v>1</v>
      </c>
      <c r="BH62">
        <v>1</v>
      </c>
      <c r="BI62">
        <v>3</v>
      </c>
      <c r="BJ62">
        <v>3</v>
      </c>
      <c r="BK62">
        <v>6</v>
      </c>
      <c r="BL62">
        <v>7</v>
      </c>
      <c r="BM62">
        <v>11</v>
      </c>
      <c r="BN62">
        <v>24</v>
      </c>
      <c r="BO62">
        <v>36</v>
      </c>
    </row>
    <row r="63" spans="1:67" hidden="1" x14ac:dyDescent="0.3">
      <c r="A63" s="1" t="s">
        <v>375</v>
      </c>
      <c r="B63" s="1" t="s">
        <v>36</v>
      </c>
      <c r="C63" s="1">
        <v>-20.904299999999999</v>
      </c>
      <c r="D63" s="1">
        <v>165.61799999999999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2</v>
      </c>
      <c r="BK63">
        <v>2</v>
      </c>
      <c r="BL63">
        <v>4</v>
      </c>
      <c r="BM63">
        <v>4</v>
      </c>
      <c r="BN63">
        <v>8</v>
      </c>
      <c r="BO63">
        <v>10</v>
      </c>
    </row>
    <row r="64" spans="1:67" hidden="1" x14ac:dyDescent="0.3">
      <c r="A64" s="1" t="s">
        <v>215</v>
      </c>
      <c r="B64" s="1" t="s">
        <v>36</v>
      </c>
      <c r="C64" s="1">
        <v>-21.135100000000001</v>
      </c>
      <c r="D64" s="1">
        <v>55.247100000000003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">
        <v>0</v>
      </c>
      <c r="AW64" s="1">
        <v>0</v>
      </c>
      <c r="AX64" s="1">
        <v>0</v>
      </c>
      <c r="AY64" s="1">
        <v>0</v>
      </c>
      <c r="AZ64" s="1">
        <v>0</v>
      </c>
      <c r="BA64" s="1">
        <v>0</v>
      </c>
      <c r="BB64" s="1">
        <v>1</v>
      </c>
      <c r="BC64" s="1">
        <v>1</v>
      </c>
      <c r="BD64">
        <v>5</v>
      </c>
      <c r="BE64">
        <v>6</v>
      </c>
      <c r="BF64">
        <v>7</v>
      </c>
      <c r="BG64">
        <v>9</v>
      </c>
      <c r="BH64">
        <v>9</v>
      </c>
      <c r="BI64">
        <v>12</v>
      </c>
      <c r="BJ64">
        <v>14</v>
      </c>
      <c r="BK64">
        <v>28</v>
      </c>
      <c r="BL64">
        <v>45</v>
      </c>
      <c r="BM64">
        <v>64</v>
      </c>
      <c r="BN64">
        <v>71</v>
      </c>
      <c r="BO64">
        <v>94</v>
      </c>
    </row>
    <row r="65" spans="1:67" hidden="1" x14ac:dyDescent="0.3">
      <c r="A65" s="1" t="s">
        <v>115</v>
      </c>
      <c r="B65" s="1" t="s">
        <v>36</v>
      </c>
      <c r="C65" s="1">
        <v>17.899999999999999</v>
      </c>
      <c r="D65" s="1">
        <v>-62.833300000000001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3</v>
      </c>
      <c r="AV65" s="1">
        <v>3</v>
      </c>
      <c r="AW65" s="1">
        <v>3</v>
      </c>
      <c r="AX65" s="1">
        <v>3</v>
      </c>
      <c r="AY65" s="1">
        <v>3</v>
      </c>
      <c r="AZ65" s="1">
        <v>1</v>
      </c>
      <c r="BA65" s="1">
        <v>1</v>
      </c>
      <c r="BB65" s="1">
        <v>1</v>
      </c>
      <c r="BC65" s="1">
        <v>1</v>
      </c>
      <c r="BD65">
        <v>1</v>
      </c>
      <c r="BE65">
        <v>1</v>
      </c>
      <c r="BF65">
        <v>1</v>
      </c>
      <c r="BG65">
        <v>3</v>
      </c>
      <c r="BH65">
        <v>3</v>
      </c>
      <c r="BI65">
        <v>3</v>
      </c>
      <c r="BJ65">
        <v>3</v>
      </c>
      <c r="BK65">
        <v>3</v>
      </c>
      <c r="BL65">
        <v>3</v>
      </c>
      <c r="BM65">
        <v>3</v>
      </c>
      <c r="BN65">
        <v>3</v>
      </c>
      <c r="BO65">
        <v>3</v>
      </c>
    </row>
    <row r="66" spans="1:67" hidden="1" x14ac:dyDescent="0.3">
      <c r="A66" s="1" t="s">
        <v>211</v>
      </c>
      <c r="B66" s="1" t="s">
        <v>36</v>
      </c>
      <c r="C66" s="1">
        <v>18.070799999999998</v>
      </c>
      <c r="D66" s="1">
        <v>-63.0501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">
        <v>0</v>
      </c>
      <c r="AW66" s="1">
        <v>0</v>
      </c>
      <c r="AX66" s="1">
        <v>0</v>
      </c>
      <c r="AY66" s="1">
        <v>0</v>
      </c>
      <c r="AZ66" s="1">
        <v>2</v>
      </c>
      <c r="BA66" s="1">
        <v>2</v>
      </c>
      <c r="BB66" s="1">
        <v>2</v>
      </c>
      <c r="BC66" s="1">
        <v>2</v>
      </c>
      <c r="BD66">
        <v>2</v>
      </c>
      <c r="BE66">
        <v>2</v>
      </c>
      <c r="BF66">
        <v>2</v>
      </c>
      <c r="BG66">
        <v>2</v>
      </c>
      <c r="BH66">
        <v>2</v>
      </c>
      <c r="BI66">
        <v>3</v>
      </c>
      <c r="BJ66">
        <v>4</v>
      </c>
      <c r="BK66">
        <v>4</v>
      </c>
      <c r="BL66">
        <v>4</v>
      </c>
      <c r="BM66">
        <v>5</v>
      </c>
      <c r="BN66">
        <v>8</v>
      </c>
      <c r="BO66">
        <v>8</v>
      </c>
    </row>
    <row r="67" spans="1:67" hidden="1" x14ac:dyDescent="0.3">
      <c r="A67" s="1" t="s">
        <v>131</v>
      </c>
      <c r="B67" s="1" t="s">
        <v>36</v>
      </c>
      <c r="C67" s="1">
        <v>14.641500000000001</v>
      </c>
      <c r="D67" s="1">
        <v>-61.0242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">
        <v>0</v>
      </c>
      <c r="AW67" s="1">
        <v>0</v>
      </c>
      <c r="AX67" s="1">
        <v>2</v>
      </c>
      <c r="AY67" s="1">
        <v>2</v>
      </c>
      <c r="AZ67" s="1">
        <v>2</v>
      </c>
      <c r="BA67" s="1">
        <v>2</v>
      </c>
      <c r="BB67" s="1">
        <v>3</v>
      </c>
      <c r="BC67" s="1">
        <v>3</v>
      </c>
      <c r="BD67">
        <v>3</v>
      </c>
      <c r="BE67">
        <v>9</v>
      </c>
      <c r="BF67">
        <v>9</v>
      </c>
      <c r="BG67">
        <v>15</v>
      </c>
      <c r="BH67">
        <v>16</v>
      </c>
      <c r="BI67">
        <v>19</v>
      </c>
      <c r="BJ67">
        <v>23</v>
      </c>
      <c r="BK67">
        <v>32</v>
      </c>
      <c r="BL67">
        <v>32</v>
      </c>
      <c r="BM67">
        <v>44</v>
      </c>
      <c r="BN67">
        <v>53</v>
      </c>
      <c r="BO67">
        <v>57</v>
      </c>
    </row>
    <row r="68" spans="1:67" hidden="1" x14ac:dyDescent="0.3">
      <c r="A68" s="1" t="s">
        <v>136</v>
      </c>
      <c r="B68" s="1" t="s">
        <v>36</v>
      </c>
      <c r="C68" s="1">
        <v>46.227600000000002</v>
      </c>
      <c r="D68" s="1">
        <v>2.2136999999999998</v>
      </c>
      <c r="E68" s="1">
        <v>0</v>
      </c>
      <c r="F68" s="1">
        <v>0</v>
      </c>
      <c r="G68" s="1">
        <v>2</v>
      </c>
      <c r="H68" s="1">
        <v>3</v>
      </c>
      <c r="I68" s="1">
        <v>3</v>
      </c>
      <c r="J68" s="1">
        <v>3</v>
      </c>
      <c r="K68" s="1">
        <v>4</v>
      </c>
      <c r="L68" s="1">
        <v>5</v>
      </c>
      <c r="M68" s="1">
        <v>5</v>
      </c>
      <c r="N68" s="1">
        <v>5</v>
      </c>
      <c r="O68" s="1">
        <v>6</v>
      </c>
      <c r="P68" s="1">
        <v>6</v>
      </c>
      <c r="Q68" s="1">
        <v>6</v>
      </c>
      <c r="R68" s="1">
        <v>6</v>
      </c>
      <c r="S68" s="1">
        <v>6</v>
      </c>
      <c r="T68" s="1">
        <v>6</v>
      </c>
      <c r="U68" s="1">
        <v>6</v>
      </c>
      <c r="V68" s="1">
        <v>11</v>
      </c>
      <c r="W68" s="1">
        <v>11</v>
      </c>
      <c r="X68" s="1">
        <v>11</v>
      </c>
      <c r="Y68" s="1">
        <v>11</v>
      </c>
      <c r="Z68" s="1">
        <v>11</v>
      </c>
      <c r="AA68" s="1">
        <v>11</v>
      </c>
      <c r="AB68" s="1">
        <v>11</v>
      </c>
      <c r="AC68" s="1">
        <v>12</v>
      </c>
      <c r="AD68" s="1">
        <v>12</v>
      </c>
      <c r="AE68" s="1">
        <v>12</v>
      </c>
      <c r="AF68" s="1">
        <v>12</v>
      </c>
      <c r="AG68" s="1">
        <v>12</v>
      </c>
      <c r="AH68" s="1">
        <v>12</v>
      </c>
      <c r="AI68" s="1">
        <v>12</v>
      </c>
      <c r="AJ68" s="1">
        <v>12</v>
      </c>
      <c r="AK68" s="1">
        <v>12</v>
      </c>
      <c r="AL68" s="1">
        <v>12</v>
      </c>
      <c r="AM68" s="1">
        <v>14</v>
      </c>
      <c r="AN68" s="1">
        <v>18</v>
      </c>
      <c r="AO68" s="1">
        <v>38</v>
      </c>
      <c r="AP68" s="1">
        <v>57</v>
      </c>
      <c r="AQ68" s="1">
        <v>100</v>
      </c>
      <c r="AR68" s="1">
        <v>130</v>
      </c>
      <c r="AS68" s="1">
        <v>191</v>
      </c>
      <c r="AT68" s="1">
        <v>204</v>
      </c>
      <c r="AU68" s="1">
        <v>285</v>
      </c>
      <c r="AV68" s="1">
        <v>377</v>
      </c>
      <c r="AW68" s="1">
        <v>653</v>
      </c>
      <c r="AX68" s="1">
        <v>949</v>
      </c>
      <c r="AY68" s="1">
        <v>1126</v>
      </c>
      <c r="AZ68" s="1">
        <v>1209</v>
      </c>
      <c r="BA68" s="1">
        <v>1784</v>
      </c>
      <c r="BB68" s="1">
        <v>2281</v>
      </c>
      <c r="BC68" s="1">
        <v>2281</v>
      </c>
      <c r="BD68">
        <v>3661</v>
      </c>
      <c r="BE68">
        <v>4469</v>
      </c>
      <c r="BF68">
        <v>4499</v>
      </c>
      <c r="BG68">
        <v>6633</v>
      </c>
      <c r="BH68">
        <v>7652</v>
      </c>
      <c r="BI68">
        <v>9043</v>
      </c>
      <c r="BJ68">
        <v>10871</v>
      </c>
      <c r="BK68">
        <v>12612</v>
      </c>
      <c r="BL68">
        <v>14282</v>
      </c>
      <c r="BM68">
        <v>16018</v>
      </c>
      <c r="BN68">
        <v>19856</v>
      </c>
      <c r="BO68">
        <v>22304</v>
      </c>
    </row>
    <row r="69" spans="1:67" hidden="1" x14ac:dyDescent="0.3">
      <c r="A69" s="1" t="s">
        <v>136</v>
      </c>
      <c r="B69" s="1" t="s">
        <v>46</v>
      </c>
      <c r="C69" s="1">
        <v>51</v>
      </c>
      <c r="D69" s="1">
        <v>9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1</v>
      </c>
      <c r="K69" s="1">
        <v>4</v>
      </c>
      <c r="L69" s="1">
        <v>4</v>
      </c>
      <c r="M69" s="1">
        <v>4</v>
      </c>
      <c r="N69" s="1">
        <v>5</v>
      </c>
      <c r="O69" s="1">
        <v>8</v>
      </c>
      <c r="P69" s="1">
        <v>10</v>
      </c>
      <c r="Q69" s="1">
        <v>12</v>
      </c>
      <c r="R69" s="1">
        <v>12</v>
      </c>
      <c r="S69" s="1">
        <v>12</v>
      </c>
      <c r="T69" s="1">
        <v>12</v>
      </c>
      <c r="U69" s="1">
        <v>13</v>
      </c>
      <c r="V69" s="1">
        <v>13</v>
      </c>
      <c r="W69" s="1">
        <v>14</v>
      </c>
      <c r="X69" s="1">
        <v>14</v>
      </c>
      <c r="Y69" s="1">
        <v>16</v>
      </c>
      <c r="Z69" s="1">
        <v>16</v>
      </c>
      <c r="AA69" s="1">
        <v>16</v>
      </c>
      <c r="AB69" s="1">
        <v>16</v>
      </c>
      <c r="AC69" s="1">
        <v>16</v>
      </c>
      <c r="AD69" s="1">
        <v>16</v>
      </c>
      <c r="AE69" s="1">
        <v>16</v>
      </c>
      <c r="AF69" s="1">
        <v>16</v>
      </c>
      <c r="AG69" s="1">
        <v>16</v>
      </c>
      <c r="AH69" s="1">
        <v>16</v>
      </c>
      <c r="AI69" s="1">
        <v>16</v>
      </c>
      <c r="AJ69" s="1">
        <v>16</v>
      </c>
      <c r="AK69" s="1">
        <v>16</v>
      </c>
      <c r="AL69" s="1">
        <v>16</v>
      </c>
      <c r="AM69" s="1">
        <v>17</v>
      </c>
      <c r="AN69" s="1">
        <v>27</v>
      </c>
      <c r="AO69" s="1">
        <v>46</v>
      </c>
      <c r="AP69" s="1">
        <v>48</v>
      </c>
      <c r="AQ69" s="1">
        <v>79</v>
      </c>
      <c r="AR69" s="1">
        <v>130</v>
      </c>
      <c r="AS69" s="1">
        <v>159</v>
      </c>
      <c r="AT69" s="1">
        <v>196</v>
      </c>
      <c r="AU69" s="1">
        <v>262</v>
      </c>
      <c r="AV69" s="1">
        <v>482</v>
      </c>
      <c r="AW69" s="1">
        <v>670</v>
      </c>
      <c r="AX69" s="1">
        <v>799</v>
      </c>
      <c r="AY69" s="1">
        <v>1040</v>
      </c>
      <c r="AZ69" s="1">
        <v>1176</v>
      </c>
      <c r="BA69" s="1">
        <v>1457</v>
      </c>
      <c r="BB69" s="1">
        <v>1908</v>
      </c>
      <c r="BC69" s="1">
        <v>2078</v>
      </c>
      <c r="BD69">
        <v>3675</v>
      </c>
      <c r="BE69">
        <v>4585</v>
      </c>
      <c r="BF69">
        <v>5795</v>
      </c>
      <c r="BG69">
        <v>7272</v>
      </c>
      <c r="BH69">
        <v>9257</v>
      </c>
      <c r="BI69">
        <v>12327</v>
      </c>
      <c r="BJ69">
        <v>15320</v>
      </c>
      <c r="BK69">
        <v>19848</v>
      </c>
      <c r="BL69">
        <v>22213</v>
      </c>
      <c r="BM69">
        <v>24873</v>
      </c>
      <c r="BN69">
        <v>29056</v>
      </c>
      <c r="BO69">
        <v>32986</v>
      </c>
    </row>
    <row r="70" spans="1:67" hidden="1" x14ac:dyDescent="0.3">
      <c r="A70" s="1" t="s">
        <v>136</v>
      </c>
      <c r="B70" s="1" t="s">
        <v>203</v>
      </c>
      <c r="C70" s="1">
        <v>32</v>
      </c>
      <c r="D70" s="1">
        <v>53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2</v>
      </c>
      <c r="AH70" s="1">
        <v>5</v>
      </c>
      <c r="AI70" s="1">
        <v>18</v>
      </c>
      <c r="AJ70" s="1">
        <v>28</v>
      </c>
      <c r="AK70" s="1">
        <v>43</v>
      </c>
      <c r="AL70" s="1">
        <v>61</v>
      </c>
      <c r="AM70" s="1">
        <v>95</v>
      </c>
      <c r="AN70" s="1">
        <v>139</v>
      </c>
      <c r="AO70" s="1">
        <v>245</v>
      </c>
      <c r="AP70" s="1">
        <v>388</v>
      </c>
      <c r="AQ70" s="1">
        <v>593</v>
      </c>
      <c r="AR70" s="1">
        <v>978</v>
      </c>
      <c r="AS70" s="1">
        <v>1501</v>
      </c>
      <c r="AT70" s="1">
        <v>2336</v>
      </c>
      <c r="AU70" s="1">
        <v>2922</v>
      </c>
      <c r="AV70" s="1">
        <v>3513</v>
      </c>
      <c r="AW70" s="1">
        <v>4747</v>
      </c>
      <c r="AX70" s="1">
        <v>5823</v>
      </c>
      <c r="AY70" s="1">
        <v>6566</v>
      </c>
      <c r="AZ70" s="1">
        <v>7161</v>
      </c>
      <c r="BA70" s="1">
        <v>8042</v>
      </c>
      <c r="BB70" s="1">
        <v>9000</v>
      </c>
      <c r="BC70" s="1">
        <v>10075</v>
      </c>
      <c r="BD70">
        <v>11364</v>
      </c>
      <c r="BE70">
        <v>12729</v>
      </c>
      <c r="BF70">
        <v>13938</v>
      </c>
      <c r="BG70">
        <v>14991</v>
      </c>
      <c r="BH70">
        <v>16169</v>
      </c>
      <c r="BI70">
        <v>17361</v>
      </c>
      <c r="BJ70">
        <v>18407</v>
      </c>
      <c r="BK70">
        <v>19644</v>
      </c>
      <c r="BL70">
        <v>20610</v>
      </c>
      <c r="BM70">
        <v>21638</v>
      </c>
      <c r="BN70">
        <v>23049</v>
      </c>
      <c r="BO70">
        <v>24811</v>
      </c>
    </row>
    <row r="71" spans="1:67" hidden="1" x14ac:dyDescent="0.3">
      <c r="A71" s="1" t="s">
        <v>136</v>
      </c>
      <c r="B71" s="1" t="s">
        <v>55</v>
      </c>
      <c r="C71" s="1">
        <v>43</v>
      </c>
      <c r="D71" s="1">
        <v>12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2</v>
      </c>
      <c r="O71" s="1">
        <v>2</v>
      </c>
      <c r="P71" s="1">
        <v>2</v>
      </c>
      <c r="Q71" s="1">
        <v>2</v>
      </c>
      <c r="R71" s="1">
        <v>2</v>
      </c>
      <c r="S71" s="1">
        <v>2</v>
      </c>
      <c r="T71" s="1">
        <v>2</v>
      </c>
      <c r="U71" s="1">
        <v>3</v>
      </c>
      <c r="V71" s="1">
        <v>3</v>
      </c>
      <c r="W71" s="1">
        <v>3</v>
      </c>
      <c r="X71" s="1">
        <v>3</v>
      </c>
      <c r="Y71" s="1">
        <v>3</v>
      </c>
      <c r="Z71" s="1">
        <v>3</v>
      </c>
      <c r="AA71" s="1">
        <v>3</v>
      </c>
      <c r="AB71" s="1">
        <v>3</v>
      </c>
      <c r="AC71" s="1">
        <v>3</v>
      </c>
      <c r="AD71" s="1">
        <v>3</v>
      </c>
      <c r="AE71" s="1">
        <v>3</v>
      </c>
      <c r="AF71" s="1">
        <v>3</v>
      </c>
      <c r="AG71" s="1">
        <v>3</v>
      </c>
      <c r="AH71" s="1">
        <v>3</v>
      </c>
      <c r="AI71" s="1">
        <v>20</v>
      </c>
      <c r="AJ71" s="1">
        <v>62</v>
      </c>
      <c r="AK71" s="1">
        <v>155</v>
      </c>
      <c r="AL71" s="1">
        <v>229</v>
      </c>
      <c r="AM71" s="1">
        <v>322</v>
      </c>
      <c r="AN71" s="1">
        <v>453</v>
      </c>
      <c r="AO71" s="1">
        <v>655</v>
      </c>
      <c r="AP71" s="1">
        <v>888</v>
      </c>
      <c r="AQ71" s="1">
        <v>1128</v>
      </c>
      <c r="AR71" s="1">
        <v>1694</v>
      </c>
      <c r="AS71" s="1">
        <v>2036</v>
      </c>
      <c r="AT71" s="1">
        <v>2502</v>
      </c>
      <c r="AU71" s="1">
        <v>3089</v>
      </c>
      <c r="AV71" s="1">
        <v>3858</v>
      </c>
      <c r="AW71" s="1">
        <v>4636</v>
      </c>
      <c r="AX71" s="1">
        <v>5883</v>
      </c>
      <c r="AY71" s="1">
        <v>7375</v>
      </c>
      <c r="AZ71" s="1">
        <v>9172</v>
      </c>
      <c r="BA71" s="1">
        <v>10149</v>
      </c>
      <c r="BB71" s="1">
        <v>12462</v>
      </c>
      <c r="BC71" s="1">
        <v>12462</v>
      </c>
      <c r="BD71">
        <v>17660</v>
      </c>
      <c r="BE71">
        <v>21157</v>
      </c>
      <c r="BF71">
        <v>24747</v>
      </c>
      <c r="BG71">
        <v>27980</v>
      </c>
      <c r="BH71">
        <v>31506</v>
      </c>
      <c r="BI71">
        <v>35713</v>
      </c>
      <c r="BJ71">
        <v>41035</v>
      </c>
      <c r="BK71">
        <v>47021</v>
      </c>
      <c r="BL71">
        <v>53578</v>
      </c>
      <c r="BM71">
        <v>59138</v>
      </c>
      <c r="BN71">
        <v>63927</v>
      </c>
      <c r="BO71">
        <v>69176</v>
      </c>
    </row>
    <row r="72" spans="1:67" hidden="1" x14ac:dyDescent="0.3">
      <c r="A72" s="1" t="s">
        <v>136</v>
      </c>
      <c r="B72" s="1" t="s">
        <v>2</v>
      </c>
      <c r="C72" s="1">
        <v>36</v>
      </c>
      <c r="D72" s="1">
        <v>138</v>
      </c>
      <c r="E72" s="1">
        <v>2</v>
      </c>
      <c r="F72" s="1">
        <v>2</v>
      </c>
      <c r="G72" s="1">
        <v>2</v>
      </c>
      <c r="H72" s="1">
        <v>2</v>
      </c>
      <c r="I72" s="1">
        <v>4</v>
      </c>
      <c r="J72" s="1">
        <v>4</v>
      </c>
      <c r="K72" s="1">
        <v>7</v>
      </c>
      <c r="L72" s="1">
        <v>7</v>
      </c>
      <c r="M72" s="1">
        <v>11</v>
      </c>
      <c r="N72" s="1">
        <v>15</v>
      </c>
      <c r="O72" s="1">
        <v>20</v>
      </c>
      <c r="P72" s="1">
        <v>20</v>
      </c>
      <c r="Q72" s="1">
        <v>20</v>
      </c>
      <c r="R72" s="1">
        <v>22</v>
      </c>
      <c r="S72" s="1">
        <v>22</v>
      </c>
      <c r="T72" s="1">
        <v>22</v>
      </c>
      <c r="U72" s="1">
        <v>25</v>
      </c>
      <c r="V72" s="1">
        <v>25</v>
      </c>
      <c r="W72" s="1">
        <v>26</v>
      </c>
      <c r="X72" s="1">
        <v>26</v>
      </c>
      <c r="Y72" s="1">
        <v>26</v>
      </c>
      <c r="Z72" s="1">
        <v>28</v>
      </c>
      <c r="AA72" s="1">
        <v>28</v>
      </c>
      <c r="AB72" s="1">
        <v>29</v>
      </c>
      <c r="AC72" s="1">
        <v>43</v>
      </c>
      <c r="AD72" s="1">
        <v>59</v>
      </c>
      <c r="AE72" s="1">
        <v>66</v>
      </c>
      <c r="AF72" s="1">
        <v>74</v>
      </c>
      <c r="AG72" s="1">
        <v>84</v>
      </c>
      <c r="AH72" s="1">
        <v>94</v>
      </c>
      <c r="AI72" s="1">
        <v>105</v>
      </c>
      <c r="AJ72" s="1">
        <v>122</v>
      </c>
      <c r="AK72" s="1">
        <v>147</v>
      </c>
      <c r="AL72" s="1">
        <v>159</v>
      </c>
      <c r="AM72" s="1">
        <v>170</v>
      </c>
      <c r="AN72" s="1">
        <v>189</v>
      </c>
      <c r="AO72" s="1">
        <v>214</v>
      </c>
      <c r="AP72" s="1">
        <v>228</v>
      </c>
      <c r="AQ72" s="1">
        <v>241</v>
      </c>
      <c r="AR72" s="1">
        <v>256</v>
      </c>
      <c r="AS72" s="1">
        <v>274</v>
      </c>
      <c r="AT72" s="1">
        <v>293</v>
      </c>
      <c r="AU72" s="1">
        <v>331</v>
      </c>
      <c r="AV72" s="1">
        <v>360</v>
      </c>
      <c r="AW72" s="1">
        <v>420</v>
      </c>
      <c r="AX72" s="1">
        <v>461</v>
      </c>
      <c r="AY72" s="1">
        <v>502</v>
      </c>
      <c r="AZ72" s="1">
        <v>511</v>
      </c>
      <c r="BA72" s="1">
        <v>581</v>
      </c>
      <c r="BB72" s="1">
        <v>639</v>
      </c>
      <c r="BC72" s="1">
        <v>639</v>
      </c>
      <c r="BD72">
        <v>701</v>
      </c>
      <c r="BE72">
        <v>773</v>
      </c>
      <c r="BF72">
        <v>839</v>
      </c>
      <c r="BG72">
        <v>839</v>
      </c>
      <c r="BH72">
        <v>878</v>
      </c>
      <c r="BI72">
        <v>889</v>
      </c>
      <c r="BJ72">
        <v>924</v>
      </c>
      <c r="BK72">
        <v>963</v>
      </c>
      <c r="BL72">
        <v>1007</v>
      </c>
      <c r="BM72">
        <v>1101</v>
      </c>
      <c r="BN72">
        <v>1128</v>
      </c>
      <c r="BO72">
        <v>1193</v>
      </c>
    </row>
    <row r="73" spans="1:67" hidden="1" x14ac:dyDescent="0.3">
      <c r="A73" s="1" t="s">
        <v>136</v>
      </c>
      <c r="B73" s="1" t="s">
        <v>204</v>
      </c>
      <c r="C73" s="1">
        <v>36</v>
      </c>
      <c r="D73" s="1">
        <v>128</v>
      </c>
      <c r="E73" s="1">
        <v>1</v>
      </c>
      <c r="F73" s="1">
        <v>1</v>
      </c>
      <c r="G73" s="1">
        <v>2</v>
      </c>
      <c r="H73" s="1">
        <v>2</v>
      </c>
      <c r="I73" s="1">
        <v>3</v>
      </c>
      <c r="J73" s="1">
        <v>4</v>
      </c>
      <c r="K73" s="1">
        <v>4</v>
      </c>
      <c r="L73" s="1">
        <v>4</v>
      </c>
      <c r="M73" s="1">
        <v>4</v>
      </c>
      <c r="N73" s="1">
        <v>11</v>
      </c>
      <c r="O73" s="1">
        <v>12</v>
      </c>
      <c r="P73" s="1">
        <v>15</v>
      </c>
      <c r="Q73" s="1">
        <v>15</v>
      </c>
      <c r="R73" s="1">
        <v>16</v>
      </c>
      <c r="S73" s="1">
        <v>19</v>
      </c>
      <c r="T73" s="1">
        <v>23</v>
      </c>
      <c r="U73" s="1">
        <v>24</v>
      </c>
      <c r="V73" s="1">
        <v>24</v>
      </c>
      <c r="W73" s="1">
        <v>25</v>
      </c>
      <c r="X73" s="1">
        <v>27</v>
      </c>
      <c r="Y73" s="1">
        <v>28</v>
      </c>
      <c r="Z73" s="1">
        <v>28</v>
      </c>
      <c r="AA73" s="1">
        <v>28</v>
      </c>
      <c r="AB73" s="1">
        <v>28</v>
      </c>
      <c r="AC73" s="1">
        <v>28</v>
      </c>
      <c r="AD73" s="1">
        <v>29</v>
      </c>
      <c r="AE73" s="1">
        <v>30</v>
      </c>
      <c r="AF73" s="1">
        <v>31</v>
      </c>
      <c r="AG73" s="1">
        <v>31</v>
      </c>
      <c r="AH73" s="1">
        <v>104</v>
      </c>
      <c r="AI73" s="1">
        <v>204</v>
      </c>
      <c r="AJ73" s="1">
        <v>433</v>
      </c>
      <c r="AK73" s="1">
        <v>602</v>
      </c>
      <c r="AL73" s="1">
        <v>833</v>
      </c>
      <c r="AM73" s="1">
        <v>977</v>
      </c>
      <c r="AN73" s="1">
        <v>1261</v>
      </c>
      <c r="AO73" s="1">
        <v>1766</v>
      </c>
      <c r="AP73" s="1">
        <v>2337</v>
      </c>
      <c r="AQ73" s="1">
        <v>3150</v>
      </c>
      <c r="AR73" s="1">
        <v>3736</v>
      </c>
      <c r="AS73" s="1">
        <v>4335</v>
      </c>
      <c r="AT73" s="1">
        <v>5186</v>
      </c>
      <c r="AU73" s="1">
        <v>5621</v>
      </c>
      <c r="AV73" s="1">
        <v>6088</v>
      </c>
      <c r="AW73" s="1">
        <v>6593</v>
      </c>
      <c r="AX73" s="1">
        <v>7041</v>
      </c>
      <c r="AY73" s="1">
        <v>7314</v>
      </c>
      <c r="AZ73" s="1">
        <v>7478</v>
      </c>
      <c r="BA73" s="1">
        <v>7513</v>
      </c>
      <c r="BB73" s="1">
        <v>7755</v>
      </c>
      <c r="BC73" s="1">
        <v>7869</v>
      </c>
      <c r="BD73">
        <v>7979</v>
      </c>
      <c r="BE73">
        <v>8086</v>
      </c>
      <c r="BF73">
        <v>8162</v>
      </c>
      <c r="BG73">
        <v>8236</v>
      </c>
      <c r="BH73">
        <v>8320</v>
      </c>
      <c r="BI73">
        <v>8413</v>
      </c>
      <c r="BJ73">
        <v>8565</v>
      </c>
      <c r="BK73">
        <v>8652</v>
      </c>
      <c r="BL73">
        <v>8799</v>
      </c>
      <c r="BM73">
        <v>8961</v>
      </c>
      <c r="BN73">
        <v>8961</v>
      </c>
      <c r="BO73">
        <v>9037</v>
      </c>
    </row>
    <row r="74" spans="1:67" hidden="1" x14ac:dyDescent="0.3">
      <c r="A74" s="1" t="s">
        <v>387</v>
      </c>
      <c r="B74" s="1" t="s">
        <v>205</v>
      </c>
      <c r="C74" s="1">
        <v>32.3078</v>
      </c>
      <c r="D74" s="1">
        <v>-64.750500000000002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W74" s="1">
        <v>0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2</v>
      </c>
      <c r="BK74">
        <v>2</v>
      </c>
      <c r="BL74">
        <v>2</v>
      </c>
      <c r="BM74">
        <v>6</v>
      </c>
      <c r="BN74">
        <v>6</v>
      </c>
      <c r="BO74">
        <v>6</v>
      </c>
    </row>
    <row r="75" spans="1:67" hidden="1" x14ac:dyDescent="0.3">
      <c r="A75" s="1" t="s">
        <v>283</v>
      </c>
      <c r="B75" s="1" t="s">
        <v>205</v>
      </c>
      <c r="C75" s="1">
        <v>19.313300000000002</v>
      </c>
      <c r="D75" s="1">
        <v>-81.254599999999996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0</v>
      </c>
      <c r="AZ75" s="1">
        <v>0</v>
      </c>
      <c r="BA75" s="1">
        <v>0</v>
      </c>
      <c r="BB75" s="1">
        <v>0</v>
      </c>
      <c r="BC75" s="1">
        <v>0</v>
      </c>
      <c r="BD75">
        <v>1</v>
      </c>
      <c r="BE75">
        <v>1</v>
      </c>
      <c r="BF75">
        <v>1</v>
      </c>
      <c r="BG75">
        <v>1</v>
      </c>
      <c r="BH75">
        <v>1</v>
      </c>
      <c r="BI75">
        <v>1</v>
      </c>
      <c r="BJ75">
        <v>3</v>
      </c>
      <c r="BK75">
        <v>3</v>
      </c>
      <c r="BL75">
        <v>3</v>
      </c>
      <c r="BM75">
        <v>3</v>
      </c>
      <c r="BN75">
        <v>5</v>
      </c>
      <c r="BO75">
        <v>6</v>
      </c>
    </row>
    <row r="76" spans="1:67" hidden="1" x14ac:dyDescent="0.3">
      <c r="A76" s="1" t="s">
        <v>147</v>
      </c>
      <c r="B76" s="1" t="s">
        <v>205</v>
      </c>
      <c r="C76" s="1">
        <v>49.372300000000003</v>
      </c>
      <c r="D76" s="1">
        <v>-2.3643999999999998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1</v>
      </c>
      <c r="BB76" s="1">
        <v>2</v>
      </c>
      <c r="BC76" s="1">
        <v>2</v>
      </c>
      <c r="BD76">
        <v>2</v>
      </c>
      <c r="BE76">
        <v>2</v>
      </c>
      <c r="BF76">
        <v>3</v>
      </c>
      <c r="BG76">
        <v>6</v>
      </c>
      <c r="BH76">
        <v>6</v>
      </c>
      <c r="BI76">
        <v>6</v>
      </c>
      <c r="BJ76">
        <v>11</v>
      </c>
      <c r="BK76">
        <v>14</v>
      </c>
      <c r="BL76">
        <v>32</v>
      </c>
      <c r="BM76">
        <v>32</v>
      </c>
      <c r="BN76">
        <v>36</v>
      </c>
      <c r="BO76">
        <v>36</v>
      </c>
    </row>
    <row r="77" spans="1:67" hidden="1" x14ac:dyDescent="0.3">
      <c r="A77" s="1" t="s">
        <v>111</v>
      </c>
      <c r="B77" s="1" t="s">
        <v>205</v>
      </c>
      <c r="C77" s="1">
        <v>36.140799999999999</v>
      </c>
      <c r="D77" s="1">
        <v>-5.3536000000000001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1</v>
      </c>
      <c r="AV77" s="1">
        <v>1</v>
      </c>
      <c r="AW77" s="1">
        <v>1</v>
      </c>
      <c r="AX77" s="1">
        <v>1</v>
      </c>
      <c r="AY77" s="1">
        <v>1</v>
      </c>
      <c r="AZ77" s="1">
        <v>1</v>
      </c>
      <c r="BA77" s="1">
        <v>1</v>
      </c>
      <c r="BB77" s="1">
        <v>1</v>
      </c>
      <c r="BC77" s="1">
        <v>1</v>
      </c>
      <c r="BD77">
        <v>1</v>
      </c>
      <c r="BE77">
        <v>1</v>
      </c>
      <c r="BF77">
        <v>1</v>
      </c>
      <c r="BG77">
        <v>1</v>
      </c>
      <c r="BH77">
        <v>3</v>
      </c>
      <c r="BI77">
        <v>8</v>
      </c>
      <c r="BJ77">
        <v>10</v>
      </c>
      <c r="BK77">
        <v>10</v>
      </c>
      <c r="BL77">
        <v>10</v>
      </c>
      <c r="BM77">
        <v>15</v>
      </c>
      <c r="BN77">
        <v>15</v>
      </c>
      <c r="BO77">
        <v>15</v>
      </c>
    </row>
    <row r="78" spans="1:67" hidden="1" x14ac:dyDescent="0.3">
      <c r="A78" s="1" t="s">
        <v>385</v>
      </c>
      <c r="B78" s="1" t="s">
        <v>205</v>
      </c>
      <c r="C78" s="1">
        <v>54.2361</v>
      </c>
      <c r="D78" s="1">
        <v>-4.5480999999999998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1</v>
      </c>
      <c r="BL78">
        <v>1</v>
      </c>
      <c r="BM78">
        <v>5</v>
      </c>
      <c r="BN78">
        <v>13</v>
      </c>
      <c r="BO78">
        <v>23</v>
      </c>
    </row>
    <row r="79" spans="1:67" hidden="1" x14ac:dyDescent="0.3">
      <c r="A79" s="1" t="s">
        <v>406</v>
      </c>
      <c r="B79" s="1" t="s">
        <v>205</v>
      </c>
      <c r="C79" s="1">
        <v>16.7425</v>
      </c>
      <c r="D79" s="1">
        <v>-62.187399999999997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1</v>
      </c>
      <c r="BJ79">
        <v>1</v>
      </c>
      <c r="BK79">
        <v>1</v>
      </c>
      <c r="BL79">
        <v>1</v>
      </c>
      <c r="BM79">
        <v>1</v>
      </c>
      <c r="BN79">
        <v>1</v>
      </c>
      <c r="BO79">
        <v>1</v>
      </c>
    </row>
    <row r="80" spans="1:67" hidden="1" x14ac:dyDescent="0.3">
      <c r="A80" s="1" t="s">
        <v>136</v>
      </c>
      <c r="B80" s="1" t="s">
        <v>205</v>
      </c>
      <c r="C80" s="1">
        <v>55.378100000000003</v>
      </c>
      <c r="D80" s="1">
        <v>-3.4359999999999999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2</v>
      </c>
      <c r="O80" s="1">
        <v>2</v>
      </c>
      <c r="P80" s="1">
        <v>2</v>
      </c>
      <c r="Q80" s="1">
        <v>2</v>
      </c>
      <c r="R80" s="1">
        <v>2</v>
      </c>
      <c r="S80" s="1">
        <v>2</v>
      </c>
      <c r="T80" s="1">
        <v>2</v>
      </c>
      <c r="U80" s="1">
        <v>3</v>
      </c>
      <c r="V80" s="1">
        <v>3</v>
      </c>
      <c r="W80" s="1">
        <v>3</v>
      </c>
      <c r="X80" s="1">
        <v>8</v>
      </c>
      <c r="Y80" s="1">
        <v>8</v>
      </c>
      <c r="Z80" s="1">
        <v>9</v>
      </c>
      <c r="AA80" s="1">
        <v>9</v>
      </c>
      <c r="AB80" s="1">
        <v>9</v>
      </c>
      <c r="AC80" s="1">
        <v>9</v>
      </c>
      <c r="AD80" s="1">
        <v>9</v>
      </c>
      <c r="AE80" s="1">
        <v>9</v>
      </c>
      <c r="AF80" s="1">
        <v>9</v>
      </c>
      <c r="AG80" s="1">
        <v>9</v>
      </c>
      <c r="AH80" s="1">
        <v>9</v>
      </c>
      <c r="AI80" s="1">
        <v>9</v>
      </c>
      <c r="AJ80" s="1">
        <v>9</v>
      </c>
      <c r="AK80" s="1">
        <v>9</v>
      </c>
      <c r="AL80" s="1">
        <v>13</v>
      </c>
      <c r="AM80" s="1">
        <v>13</v>
      </c>
      <c r="AN80" s="1">
        <v>13</v>
      </c>
      <c r="AO80" s="1">
        <v>15</v>
      </c>
      <c r="AP80" s="1">
        <v>20</v>
      </c>
      <c r="AQ80" s="1">
        <v>23</v>
      </c>
      <c r="AR80" s="1">
        <v>36</v>
      </c>
      <c r="AS80" s="1">
        <v>40</v>
      </c>
      <c r="AT80" s="1">
        <v>51</v>
      </c>
      <c r="AU80" s="1">
        <v>85</v>
      </c>
      <c r="AV80" s="1">
        <v>115</v>
      </c>
      <c r="AW80" s="1">
        <v>163</v>
      </c>
      <c r="AX80" s="1">
        <v>206</v>
      </c>
      <c r="AY80" s="1">
        <v>273</v>
      </c>
      <c r="AZ80" s="1">
        <v>321</v>
      </c>
      <c r="BA80" s="1">
        <v>382</v>
      </c>
      <c r="BB80" s="1">
        <v>456</v>
      </c>
      <c r="BC80" s="1">
        <v>456</v>
      </c>
      <c r="BD80">
        <v>798</v>
      </c>
      <c r="BE80">
        <v>1140</v>
      </c>
      <c r="BF80">
        <v>1140</v>
      </c>
      <c r="BG80">
        <v>1543</v>
      </c>
      <c r="BH80">
        <v>1950</v>
      </c>
      <c r="BI80">
        <v>2626</v>
      </c>
      <c r="BJ80">
        <v>2689</v>
      </c>
      <c r="BK80">
        <v>3983</v>
      </c>
      <c r="BL80">
        <v>5018</v>
      </c>
      <c r="BM80">
        <v>5683</v>
      </c>
      <c r="BN80">
        <v>6650</v>
      </c>
      <c r="BO80">
        <v>8077</v>
      </c>
    </row>
    <row r="81" spans="1:67" hidden="1" x14ac:dyDescent="0.3">
      <c r="A81" s="1" t="s">
        <v>136</v>
      </c>
      <c r="B81" s="1" t="s">
        <v>18</v>
      </c>
      <c r="C81" s="1">
        <v>37.090200000000003</v>
      </c>
      <c r="D81" s="1">
        <v>-95.712900000000005</v>
      </c>
      <c r="E81" s="1">
        <v>1</v>
      </c>
      <c r="F81" s="1">
        <v>1</v>
      </c>
      <c r="G81" s="1">
        <v>2</v>
      </c>
      <c r="H81" s="1">
        <v>2</v>
      </c>
      <c r="I81" s="1">
        <v>5</v>
      </c>
      <c r="J81" s="1">
        <v>5</v>
      </c>
      <c r="K81" s="1">
        <v>5</v>
      </c>
      <c r="L81" s="1">
        <v>5</v>
      </c>
      <c r="M81" s="1">
        <v>5</v>
      </c>
      <c r="N81" s="1">
        <v>7</v>
      </c>
      <c r="O81" s="1">
        <v>8</v>
      </c>
      <c r="P81" s="1">
        <v>8</v>
      </c>
      <c r="Q81" s="1">
        <v>11</v>
      </c>
      <c r="R81" s="1">
        <v>11</v>
      </c>
      <c r="S81" s="1">
        <v>11</v>
      </c>
      <c r="T81" s="1">
        <v>11</v>
      </c>
      <c r="U81" s="1">
        <v>11</v>
      </c>
      <c r="V81" s="1">
        <v>11</v>
      </c>
      <c r="W81" s="1">
        <v>11</v>
      </c>
      <c r="X81" s="1">
        <v>11</v>
      </c>
      <c r="Y81" s="1">
        <v>12</v>
      </c>
      <c r="Z81" s="1">
        <v>12</v>
      </c>
      <c r="AA81" s="1">
        <v>13</v>
      </c>
      <c r="AB81" s="1">
        <v>13</v>
      </c>
      <c r="AC81" s="1">
        <v>13</v>
      </c>
      <c r="AD81" s="1">
        <v>13</v>
      </c>
      <c r="AE81" s="1">
        <v>13</v>
      </c>
      <c r="AF81" s="1">
        <v>13</v>
      </c>
      <c r="AG81" s="1">
        <v>13</v>
      </c>
      <c r="AH81" s="1">
        <v>13</v>
      </c>
      <c r="AI81" s="1">
        <v>15</v>
      </c>
      <c r="AJ81" s="1">
        <v>15</v>
      </c>
      <c r="AK81" s="1">
        <v>15</v>
      </c>
      <c r="AL81" s="1">
        <v>51</v>
      </c>
      <c r="AM81" s="1">
        <v>51</v>
      </c>
      <c r="AN81" s="1">
        <v>57</v>
      </c>
      <c r="AO81" s="1">
        <v>58</v>
      </c>
      <c r="AP81" s="1">
        <v>60</v>
      </c>
      <c r="AQ81" s="1">
        <v>68</v>
      </c>
      <c r="AR81" s="1">
        <v>74</v>
      </c>
      <c r="AS81" s="1">
        <v>98</v>
      </c>
      <c r="AT81" s="1">
        <v>118</v>
      </c>
      <c r="AU81" s="1">
        <v>149</v>
      </c>
      <c r="AV81" s="1">
        <v>217</v>
      </c>
      <c r="AW81" s="1">
        <v>262</v>
      </c>
      <c r="AX81" s="1">
        <v>402</v>
      </c>
      <c r="AY81" s="1">
        <v>518</v>
      </c>
      <c r="AZ81" s="1">
        <v>583</v>
      </c>
      <c r="BA81" s="1">
        <v>959</v>
      </c>
      <c r="BB81" s="1">
        <v>1281</v>
      </c>
      <c r="BC81" s="1">
        <v>1663</v>
      </c>
      <c r="BD81">
        <v>2179</v>
      </c>
      <c r="BE81">
        <v>2727</v>
      </c>
      <c r="BF81">
        <v>3499</v>
      </c>
      <c r="BG81">
        <v>4632</v>
      </c>
      <c r="BH81">
        <v>6421</v>
      </c>
      <c r="BI81">
        <v>7783</v>
      </c>
      <c r="BJ81">
        <v>13677</v>
      </c>
      <c r="BK81">
        <v>19100</v>
      </c>
      <c r="BL81">
        <v>25489</v>
      </c>
      <c r="BM81">
        <v>33276</v>
      </c>
      <c r="BN81">
        <v>43847</v>
      </c>
      <c r="BO81">
        <v>53740</v>
      </c>
    </row>
    <row r="82" spans="1:67" x14ac:dyDescent="0.3">
      <c r="A82" s="1" t="s">
        <v>217</v>
      </c>
      <c r="B82" s="1"/>
      <c r="E82">
        <f>SUBTOTAL(109,Confirmed[1/22/20])</f>
        <v>0</v>
      </c>
      <c r="F82">
        <f>SUBTOTAL(109,Confirmed[1/23/20])</f>
        <v>0</v>
      </c>
      <c r="G82">
        <f>SUBTOTAL(109,Confirmed[1/24/20])</f>
        <v>0</v>
      </c>
      <c r="H82">
        <f>SUBTOTAL(109,Confirmed[1/25/20])</f>
        <v>0</v>
      </c>
      <c r="I82">
        <f>SUBTOTAL(109,Confirmed[1/26/20])</f>
        <v>4</v>
      </c>
      <c r="J82">
        <f>SUBTOTAL(109,Confirmed[1/27/20])</f>
        <v>5</v>
      </c>
      <c r="K82">
        <f>SUBTOTAL(109,Confirmed[1/28/20])</f>
        <v>5</v>
      </c>
      <c r="L82">
        <f>SUBTOTAL(109,Confirmed[1/29/20])</f>
        <v>6</v>
      </c>
      <c r="M82">
        <f>SUBTOTAL(109,Confirmed[1/30/20])</f>
        <v>9</v>
      </c>
      <c r="N82">
        <f>SUBTOTAL(109,Confirmed[1/31/20])</f>
        <v>9</v>
      </c>
      <c r="O82">
        <f>SUBTOTAL(109,Confirmed[2/1/20])</f>
        <v>12</v>
      </c>
      <c r="P82">
        <f>SUBTOTAL(109,Confirmed[2/2/20])</f>
        <v>12</v>
      </c>
      <c r="Q82">
        <f>SUBTOTAL(109,Confirmed[2/3/20])</f>
        <v>12</v>
      </c>
      <c r="R82">
        <f>SUBTOTAL(109,Confirmed[2/4/20])</f>
        <v>13</v>
      </c>
      <c r="S82">
        <f>SUBTOTAL(109,Confirmed[2/5/20])</f>
        <v>13</v>
      </c>
      <c r="T82">
        <f>SUBTOTAL(109,Confirmed[2/6/20])</f>
        <v>14</v>
      </c>
      <c r="U82">
        <f>SUBTOTAL(109,Confirmed[2/7/20])</f>
        <v>15</v>
      </c>
      <c r="V82">
        <f>SUBTOTAL(109,Confirmed[2/8/20])</f>
        <v>15</v>
      </c>
      <c r="W82">
        <f>SUBTOTAL(109,Confirmed[2/9/20])</f>
        <v>15</v>
      </c>
      <c r="X82">
        <f>SUBTOTAL(109,Confirmed[2/10/20])</f>
        <v>15</v>
      </c>
      <c r="Y82">
        <f>SUBTOTAL(109,Confirmed[2/11/20])</f>
        <v>15</v>
      </c>
      <c r="Z82">
        <f>SUBTOTAL(109,Confirmed[2/12/20])</f>
        <v>15</v>
      </c>
      <c r="AA82">
        <f>SUBTOTAL(109,Confirmed[2/13/20])</f>
        <v>15</v>
      </c>
      <c r="AB82">
        <f>SUBTOTAL(109,Confirmed[2/14/20])</f>
        <v>15</v>
      </c>
      <c r="AC82">
        <f>SUBTOTAL(109,Confirmed[2/15/20])</f>
        <v>15</v>
      </c>
      <c r="AD82">
        <f>SUBTOTAL(109,Confirmed[2/16/20])</f>
        <v>15</v>
      </c>
      <c r="AE82">
        <f>SUBTOTAL(109,Confirmed[2/17/20])</f>
        <v>15</v>
      </c>
      <c r="AF82">
        <f>SUBTOTAL(109,Confirmed[2/18/20])</f>
        <v>15</v>
      </c>
      <c r="AG82">
        <f>SUBTOTAL(109,Confirmed[2/19/20])</f>
        <v>15</v>
      </c>
      <c r="AH82">
        <f>SUBTOTAL(109,Confirmed[2/20/20])</f>
        <v>15</v>
      </c>
      <c r="AI82">
        <f>SUBTOTAL(109,Confirmed[2/21/20])</f>
        <v>15</v>
      </c>
      <c r="AJ82">
        <f>SUBTOTAL(109,Confirmed[2/22/20])</f>
        <v>15</v>
      </c>
      <c r="AK82">
        <f>SUBTOTAL(109,Confirmed[2/23/20])</f>
        <v>15</v>
      </c>
      <c r="AL82">
        <f>SUBTOTAL(109,Confirmed[2/24/20])</f>
        <v>15</v>
      </c>
      <c r="AM82">
        <f>SUBTOTAL(109,Confirmed[2/25/20])</f>
        <v>15</v>
      </c>
      <c r="AN82">
        <f>SUBTOTAL(109,Confirmed[2/26/20])</f>
        <v>15</v>
      </c>
      <c r="AO82">
        <f>SUBTOTAL(109,Confirmed[2/27/20])</f>
        <v>15</v>
      </c>
      <c r="AP82">
        <f>SUBTOTAL(109,Confirmed[2/28/20])</f>
        <v>15</v>
      </c>
      <c r="AQ82">
        <f>SUBTOTAL(109,Confirmed[2/29/20])</f>
        <v>25</v>
      </c>
      <c r="AR82">
        <f>SUBTOTAL(109,Confirmed[3/1/20])</f>
        <v>27</v>
      </c>
      <c r="AS82">
        <f>SUBTOTAL(109,Confirmed[3/2/20])</f>
        <v>30</v>
      </c>
      <c r="AT82">
        <f>SUBTOTAL(109,Confirmed[3/3/20])</f>
        <v>39</v>
      </c>
      <c r="AU82">
        <f>SUBTOTAL(109,Confirmed[3/4/20])</f>
        <v>52</v>
      </c>
      <c r="AV82">
        <f>SUBTOTAL(109,Confirmed[3/5/20])</f>
        <v>55</v>
      </c>
      <c r="AW82">
        <f>SUBTOTAL(109,Confirmed[3/6/20])</f>
        <v>60</v>
      </c>
      <c r="AX82">
        <f>SUBTOTAL(109,Confirmed[3/7/20])</f>
        <v>63</v>
      </c>
      <c r="AY82">
        <f>SUBTOTAL(109,Confirmed[3/8/20])</f>
        <v>76</v>
      </c>
      <c r="AZ82">
        <f>SUBTOTAL(109,Confirmed[3/9/20])</f>
        <v>91</v>
      </c>
      <c r="BA82">
        <f>SUBTOTAL(109,Confirmed[3/10/20])</f>
        <v>107</v>
      </c>
      <c r="BB82">
        <f>SUBTOTAL(109,Confirmed[3/11/20])</f>
        <v>128</v>
      </c>
      <c r="BC82">
        <f>SUBTOTAL(109,Confirmed[3/12/20])</f>
        <v>128</v>
      </c>
      <c r="BD82">
        <f>SUBTOTAL(109,Confirmed[3/13/20])</f>
        <v>200</v>
      </c>
      <c r="BE82">
        <f>SUBTOTAL(109,Confirmed[3/14/20])</f>
        <v>250</v>
      </c>
      <c r="BF82">
        <f>SUBTOTAL(109,Confirmed[3/15/20])</f>
        <v>297</v>
      </c>
      <c r="BG82">
        <f>SUBTOTAL(109,Confirmed[3/16/20])</f>
        <v>377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67807-E729-446B-9079-1174D877503A}">
  <sheetPr codeName="Sheet13"/>
  <dimension ref="A1:V417"/>
  <sheetViews>
    <sheetView topLeftCell="A73" workbookViewId="0">
      <selection activeCell="C81" sqref="C81"/>
    </sheetView>
  </sheetViews>
  <sheetFormatPr defaultRowHeight="14.4" x14ac:dyDescent="0.3"/>
  <cols>
    <col min="1" max="1" width="22" bestFit="1" customWidth="1"/>
  </cols>
  <sheetData>
    <row r="1" spans="1:3" x14ac:dyDescent="0.3">
      <c r="A1" t="s">
        <v>322</v>
      </c>
      <c r="B1" t="s">
        <v>323</v>
      </c>
      <c r="C1" t="s">
        <v>414</v>
      </c>
    </row>
    <row r="2" spans="1:3" x14ac:dyDescent="0.3">
      <c r="A2" t="s">
        <v>63</v>
      </c>
      <c r="B2">
        <v>38928346</v>
      </c>
      <c r="C2" t="s">
        <v>423</v>
      </c>
    </row>
    <row r="3" spans="1:3" x14ac:dyDescent="0.3">
      <c r="A3" t="s">
        <v>139</v>
      </c>
      <c r="B3">
        <v>2877797</v>
      </c>
      <c r="C3" t="s">
        <v>424</v>
      </c>
    </row>
    <row r="4" spans="1:3" x14ac:dyDescent="0.3">
      <c r="A4" t="s">
        <v>68</v>
      </c>
      <c r="B4">
        <v>43851044</v>
      </c>
      <c r="C4" t="s">
        <v>425</v>
      </c>
    </row>
    <row r="5" spans="1:3" x14ac:dyDescent="0.3">
      <c r="A5" t="s">
        <v>390</v>
      </c>
      <c r="B5">
        <v>55191</v>
      </c>
      <c r="C5" t="s">
        <v>426</v>
      </c>
    </row>
    <row r="6" spans="1:3" x14ac:dyDescent="0.3">
      <c r="A6" t="s">
        <v>98</v>
      </c>
      <c r="B6">
        <v>77265</v>
      </c>
      <c r="C6" t="s">
        <v>427</v>
      </c>
    </row>
    <row r="7" spans="1:3" x14ac:dyDescent="0.3">
      <c r="A7" t="s">
        <v>327</v>
      </c>
      <c r="B7">
        <v>32866272</v>
      </c>
      <c r="C7" t="s">
        <v>428</v>
      </c>
    </row>
    <row r="8" spans="1:3" x14ac:dyDescent="0.3">
      <c r="A8" t="s">
        <v>400</v>
      </c>
      <c r="B8">
        <v>15003</v>
      </c>
      <c r="C8" t="s">
        <v>429</v>
      </c>
    </row>
    <row r="9" spans="1:3" x14ac:dyDescent="0.3">
      <c r="A9" t="s">
        <v>292</v>
      </c>
      <c r="B9">
        <v>97929</v>
      </c>
      <c r="C9" t="s">
        <v>430</v>
      </c>
    </row>
    <row r="10" spans="1:3" x14ac:dyDescent="0.3">
      <c r="A10" t="s">
        <v>106</v>
      </c>
      <c r="B10">
        <v>45195774</v>
      </c>
      <c r="C10" t="s">
        <v>431</v>
      </c>
    </row>
    <row r="11" spans="1:3" x14ac:dyDescent="0.3">
      <c r="A11" t="s">
        <v>94</v>
      </c>
      <c r="B11">
        <v>2963243</v>
      </c>
      <c r="C11" t="s">
        <v>432</v>
      </c>
    </row>
    <row r="12" spans="1:3" x14ac:dyDescent="0.3">
      <c r="A12" t="s">
        <v>290</v>
      </c>
      <c r="B12">
        <v>106766</v>
      </c>
      <c r="C12" t="s">
        <v>433</v>
      </c>
    </row>
    <row r="13" spans="1:3" x14ac:dyDescent="0.3">
      <c r="A13" t="s">
        <v>42</v>
      </c>
      <c r="B13">
        <v>25499884</v>
      </c>
      <c r="C13" t="s">
        <v>415</v>
      </c>
    </row>
    <row r="14" spans="1:3" x14ac:dyDescent="0.3">
      <c r="A14" t="s">
        <v>69</v>
      </c>
      <c r="B14">
        <v>9006398</v>
      </c>
      <c r="C14" t="s">
        <v>434</v>
      </c>
    </row>
    <row r="15" spans="1:3" x14ac:dyDescent="0.3">
      <c r="A15" t="s">
        <v>95</v>
      </c>
      <c r="B15">
        <v>10139177</v>
      </c>
      <c r="C15" t="s">
        <v>435</v>
      </c>
    </row>
    <row r="16" spans="1:3" x14ac:dyDescent="0.3">
      <c r="A16" t="s">
        <v>372</v>
      </c>
      <c r="B16">
        <v>393244</v>
      </c>
      <c r="C16" t="s">
        <v>436</v>
      </c>
    </row>
    <row r="17" spans="1:3" x14ac:dyDescent="0.3">
      <c r="A17" t="s">
        <v>64</v>
      </c>
      <c r="B17">
        <v>1701575</v>
      </c>
      <c r="C17" t="s">
        <v>437</v>
      </c>
    </row>
    <row r="18" spans="1:3" x14ac:dyDescent="0.3">
      <c r="A18" t="s">
        <v>132</v>
      </c>
      <c r="B18">
        <v>164689383</v>
      </c>
      <c r="C18" t="s">
        <v>438</v>
      </c>
    </row>
    <row r="19" spans="1:3" x14ac:dyDescent="0.3">
      <c r="A19" t="s">
        <v>374</v>
      </c>
      <c r="B19">
        <v>287375</v>
      </c>
      <c r="C19" t="s">
        <v>439</v>
      </c>
    </row>
    <row r="20" spans="1:3" x14ac:dyDescent="0.3">
      <c r="A20" t="s">
        <v>83</v>
      </c>
      <c r="B20">
        <v>9449323</v>
      </c>
      <c r="C20" t="s">
        <v>440</v>
      </c>
    </row>
    <row r="21" spans="1:3" x14ac:dyDescent="0.3">
      <c r="A21" t="s">
        <v>59</v>
      </c>
      <c r="B21">
        <v>11589623</v>
      </c>
      <c r="C21" t="s">
        <v>441</v>
      </c>
    </row>
    <row r="22" spans="1:3" x14ac:dyDescent="0.3">
      <c r="A22" t="s">
        <v>371</v>
      </c>
      <c r="B22">
        <v>397628</v>
      </c>
      <c r="C22" t="s">
        <v>442</v>
      </c>
    </row>
    <row r="23" spans="1:3" x14ac:dyDescent="0.3">
      <c r="A23" t="s">
        <v>317</v>
      </c>
      <c r="B23">
        <v>12123200</v>
      </c>
      <c r="C23" t="s">
        <v>443</v>
      </c>
    </row>
    <row r="24" spans="1:3" x14ac:dyDescent="0.3">
      <c r="A24" t="s">
        <v>387</v>
      </c>
      <c r="B24">
        <v>62278</v>
      </c>
      <c r="C24" t="s">
        <v>444</v>
      </c>
    </row>
    <row r="25" spans="1:3" x14ac:dyDescent="0.3">
      <c r="A25" t="s">
        <v>121</v>
      </c>
      <c r="B25">
        <v>771608</v>
      </c>
      <c r="C25" t="s">
        <v>445</v>
      </c>
    </row>
    <row r="26" spans="1:3" x14ac:dyDescent="0.3">
      <c r="A26" t="s">
        <v>210</v>
      </c>
      <c r="B26">
        <v>11673021</v>
      </c>
      <c r="C26" t="s">
        <v>446</v>
      </c>
    </row>
    <row r="27" spans="1:3" x14ac:dyDescent="0.3">
      <c r="A27" t="s">
        <v>118</v>
      </c>
      <c r="B27">
        <v>3280819</v>
      </c>
      <c r="C27" t="s">
        <v>447</v>
      </c>
    </row>
    <row r="28" spans="1:3" x14ac:dyDescent="0.3">
      <c r="A28" t="s">
        <v>357</v>
      </c>
      <c r="B28">
        <v>2351627</v>
      </c>
      <c r="C28" t="s">
        <v>448</v>
      </c>
    </row>
    <row r="29" spans="1:3" x14ac:dyDescent="0.3">
      <c r="A29" t="s">
        <v>72</v>
      </c>
      <c r="B29">
        <v>212559417</v>
      </c>
      <c r="C29" t="s">
        <v>449</v>
      </c>
    </row>
    <row r="30" spans="1:3" x14ac:dyDescent="0.3">
      <c r="A30" t="s">
        <v>396</v>
      </c>
      <c r="B30">
        <v>30231</v>
      </c>
      <c r="C30" t="s">
        <v>450</v>
      </c>
    </row>
    <row r="31" spans="1:3" x14ac:dyDescent="0.3">
      <c r="A31" t="s">
        <v>141</v>
      </c>
      <c r="B31">
        <v>437479</v>
      </c>
      <c r="C31" t="s">
        <v>451</v>
      </c>
    </row>
    <row r="32" spans="1:3" x14ac:dyDescent="0.3">
      <c r="A32" t="s">
        <v>133</v>
      </c>
      <c r="B32">
        <v>6948445</v>
      </c>
      <c r="C32" t="s">
        <v>452</v>
      </c>
    </row>
    <row r="33" spans="1:3" x14ac:dyDescent="0.3">
      <c r="A33" t="s">
        <v>146</v>
      </c>
      <c r="B33">
        <v>20903273</v>
      </c>
      <c r="C33" t="s">
        <v>453</v>
      </c>
    </row>
    <row r="34" spans="1:3" x14ac:dyDescent="0.3">
      <c r="A34" t="s">
        <v>341</v>
      </c>
      <c r="B34">
        <v>11890784</v>
      </c>
      <c r="C34" t="s">
        <v>454</v>
      </c>
    </row>
    <row r="35" spans="1:3" x14ac:dyDescent="0.3">
      <c r="A35" t="s">
        <v>370</v>
      </c>
      <c r="B35">
        <v>555987</v>
      </c>
      <c r="C35" t="s">
        <v>455</v>
      </c>
    </row>
    <row r="36" spans="1:3" x14ac:dyDescent="0.3">
      <c r="A36" t="s">
        <v>45</v>
      </c>
      <c r="B36">
        <v>16718965</v>
      </c>
      <c r="C36" t="s">
        <v>456</v>
      </c>
    </row>
    <row r="37" spans="1:3" x14ac:dyDescent="0.3">
      <c r="A37" t="s">
        <v>122</v>
      </c>
      <c r="B37">
        <v>26545863</v>
      </c>
      <c r="C37" t="s">
        <v>457</v>
      </c>
    </row>
    <row r="38" spans="1:3" x14ac:dyDescent="0.3">
      <c r="A38" t="s">
        <v>43</v>
      </c>
      <c r="B38">
        <v>37742154</v>
      </c>
      <c r="C38" t="s">
        <v>651</v>
      </c>
    </row>
    <row r="39" spans="1:3" x14ac:dyDescent="0.3">
      <c r="A39" t="s">
        <v>397</v>
      </c>
      <c r="B39">
        <v>26223</v>
      </c>
      <c r="C39" t="s">
        <v>458</v>
      </c>
    </row>
    <row r="40" spans="1:3" x14ac:dyDescent="0.3">
      <c r="A40" t="s">
        <v>283</v>
      </c>
      <c r="B40">
        <v>65722</v>
      </c>
      <c r="C40" t="s">
        <v>459</v>
      </c>
    </row>
    <row r="41" spans="1:3" x14ac:dyDescent="0.3">
      <c r="A41" t="s">
        <v>311</v>
      </c>
      <c r="B41">
        <v>4829767</v>
      </c>
      <c r="C41" t="s">
        <v>460</v>
      </c>
    </row>
    <row r="42" spans="1:3" x14ac:dyDescent="0.3">
      <c r="A42" t="s">
        <v>339</v>
      </c>
      <c r="B42">
        <v>16425864</v>
      </c>
      <c r="C42" t="s">
        <v>461</v>
      </c>
    </row>
    <row r="43" spans="1:3" x14ac:dyDescent="0.3">
      <c r="A43" t="s">
        <v>147</v>
      </c>
      <c r="B43">
        <v>173863</v>
      </c>
      <c r="C43" t="s">
        <v>462</v>
      </c>
    </row>
    <row r="44" spans="1:3" x14ac:dyDescent="0.3">
      <c r="A44" t="s">
        <v>107</v>
      </c>
      <c r="B44">
        <v>19116201</v>
      </c>
      <c r="C44" t="s">
        <v>463</v>
      </c>
    </row>
    <row r="45" spans="1:3" x14ac:dyDescent="0.3">
      <c r="A45" t="s">
        <v>202</v>
      </c>
      <c r="B45">
        <v>1439323776</v>
      </c>
      <c r="C45" t="s">
        <v>418</v>
      </c>
    </row>
    <row r="46" spans="1:3" x14ac:dyDescent="0.3">
      <c r="A46" t="s">
        <v>123</v>
      </c>
      <c r="B46">
        <v>50882891</v>
      </c>
      <c r="C46" t="s">
        <v>464</v>
      </c>
    </row>
    <row r="47" spans="1:3" x14ac:dyDescent="0.3">
      <c r="A47" t="s">
        <v>365</v>
      </c>
      <c r="B47">
        <v>869601</v>
      </c>
      <c r="C47" t="s">
        <v>465</v>
      </c>
    </row>
    <row r="48" spans="1:3" x14ac:dyDescent="0.3">
      <c r="A48" t="s">
        <v>353</v>
      </c>
      <c r="B48">
        <v>5518087</v>
      </c>
      <c r="C48" t="s">
        <v>466</v>
      </c>
    </row>
    <row r="49" spans="1:3" x14ac:dyDescent="0.3">
      <c r="A49" t="s">
        <v>399</v>
      </c>
      <c r="B49">
        <v>17564</v>
      </c>
      <c r="C49" t="s">
        <v>467</v>
      </c>
    </row>
    <row r="50" spans="1:3" x14ac:dyDescent="0.3">
      <c r="A50" t="s">
        <v>124</v>
      </c>
      <c r="B50">
        <v>5094118</v>
      </c>
      <c r="C50" t="s">
        <v>468</v>
      </c>
    </row>
    <row r="51" spans="1:3" x14ac:dyDescent="0.3">
      <c r="A51" t="s">
        <v>331</v>
      </c>
      <c r="B51">
        <v>26378274</v>
      </c>
      <c r="C51" t="s">
        <v>469</v>
      </c>
    </row>
    <row r="52" spans="1:3" x14ac:dyDescent="0.3">
      <c r="A52" t="s">
        <v>70</v>
      </c>
      <c r="B52">
        <v>4105267</v>
      </c>
      <c r="C52" t="s">
        <v>470</v>
      </c>
    </row>
    <row r="53" spans="1:3" x14ac:dyDescent="0.3">
      <c r="A53" t="s">
        <v>275</v>
      </c>
      <c r="B53">
        <v>11326616</v>
      </c>
      <c r="C53" t="s">
        <v>471</v>
      </c>
    </row>
    <row r="54" spans="1:3" x14ac:dyDescent="0.3">
      <c r="A54" t="s">
        <v>378</v>
      </c>
      <c r="B54">
        <v>164093</v>
      </c>
      <c r="C54" t="s">
        <v>472</v>
      </c>
    </row>
    <row r="55" spans="1:3" x14ac:dyDescent="0.3">
      <c r="A55" t="s">
        <v>140</v>
      </c>
      <c r="B55">
        <v>1207359</v>
      </c>
      <c r="C55" t="s">
        <v>473</v>
      </c>
    </row>
    <row r="56" spans="1:3" x14ac:dyDescent="0.3">
      <c r="A56" t="s">
        <v>206</v>
      </c>
      <c r="B56">
        <v>10708981</v>
      </c>
      <c r="C56" t="s">
        <v>474</v>
      </c>
    </row>
    <row r="57" spans="1:3" x14ac:dyDescent="0.3">
      <c r="A57" t="s">
        <v>79</v>
      </c>
      <c r="B57">
        <v>5792202</v>
      </c>
      <c r="C57" t="s">
        <v>475</v>
      </c>
    </row>
    <row r="58" spans="1:3" x14ac:dyDescent="0.3">
      <c r="A58" t="s">
        <v>362</v>
      </c>
      <c r="B58">
        <v>988000</v>
      </c>
      <c r="C58" t="s">
        <v>476</v>
      </c>
    </row>
    <row r="59" spans="1:3" x14ac:dyDescent="0.3">
      <c r="A59" t="s">
        <v>386</v>
      </c>
      <c r="B59">
        <v>71986</v>
      </c>
      <c r="C59" t="s">
        <v>477</v>
      </c>
    </row>
    <row r="60" spans="1:3" x14ac:dyDescent="0.3">
      <c r="A60" t="s">
        <v>96</v>
      </c>
      <c r="B60">
        <v>10847910</v>
      </c>
      <c r="C60" t="s">
        <v>478</v>
      </c>
    </row>
    <row r="61" spans="1:3" x14ac:dyDescent="0.3">
      <c r="A61" t="s">
        <v>324</v>
      </c>
      <c r="B61">
        <v>89561403</v>
      </c>
      <c r="C61" t="s">
        <v>479</v>
      </c>
    </row>
    <row r="62" spans="1:3" x14ac:dyDescent="0.3">
      <c r="A62" t="s">
        <v>97</v>
      </c>
      <c r="B62">
        <v>17643054</v>
      </c>
      <c r="C62" t="s">
        <v>480</v>
      </c>
    </row>
    <row r="63" spans="1:3" x14ac:dyDescent="0.3">
      <c r="A63" t="s">
        <v>60</v>
      </c>
      <c r="B63">
        <v>102334404</v>
      </c>
      <c r="C63" t="s">
        <v>481</v>
      </c>
    </row>
    <row r="64" spans="1:3" x14ac:dyDescent="0.3">
      <c r="A64" t="s">
        <v>351</v>
      </c>
      <c r="B64">
        <v>6486205</v>
      </c>
      <c r="C64" t="s">
        <v>482</v>
      </c>
    </row>
    <row r="65" spans="1:3" x14ac:dyDescent="0.3">
      <c r="A65" t="s">
        <v>312</v>
      </c>
      <c r="B65">
        <v>1402985</v>
      </c>
      <c r="C65" t="s">
        <v>483</v>
      </c>
    </row>
    <row r="66" spans="1:3" x14ac:dyDescent="0.3">
      <c r="A66" t="s">
        <v>355</v>
      </c>
      <c r="B66">
        <v>3546421</v>
      </c>
      <c r="C66" t="s">
        <v>484</v>
      </c>
    </row>
    <row r="67" spans="1:3" x14ac:dyDescent="0.3">
      <c r="A67" t="s">
        <v>80</v>
      </c>
      <c r="B67">
        <v>1326535</v>
      </c>
      <c r="C67" t="s">
        <v>485</v>
      </c>
    </row>
    <row r="68" spans="1:3" x14ac:dyDescent="0.3">
      <c r="A68" t="s">
        <v>300</v>
      </c>
      <c r="B68">
        <v>1160164</v>
      </c>
      <c r="C68" t="s">
        <v>486</v>
      </c>
    </row>
    <row r="69" spans="1:3" x14ac:dyDescent="0.3">
      <c r="A69" t="s">
        <v>287</v>
      </c>
      <c r="B69">
        <v>114963588</v>
      </c>
      <c r="C69" t="s">
        <v>487</v>
      </c>
    </row>
    <row r="70" spans="1:3" x14ac:dyDescent="0.3">
      <c r="A70" t="s">
        <v>392</v>
      </c>
      <c r="B70">
        <v>48863</v>
      </c>
      <c r="C70" t="s">
        <v>488</v>
      </c>
    </row>
    <row r="71" spans="1:3" x14ac:dyDescent="0.3">
      <c r="A71" t="s">
        <v>407</v>
      </c>
      <c r="B71">
        <v>3480</v>
      </c>
      <c r="C71" t="s">
        <v>489</v>
      </c>
    </row>
    <row r="72" spans="1:3" x14ac:dyDescent="0.3">
      <c r="A72" t="s">
        <v>363</v>
      </c>
      <c r="B72">
        <v>896445</v>
      </c>
      <c r="C72" t="s">
        <v>490</v>
      </c>
    </row>
    <row r="73" spans="1:3" x14ac:dyDescent="0.3">
      <c r="A73" t="s">
        <v>49</v>
      </c>
      <c r="B73">
        <v>5540720</v>
      </c>
      <c r="C73" t="s">
        <v>491</v>
      </c>
    </row>
    <row r="74" spans="1:3" x14ac:dyDescent="0.3">
      <c r="A74" t="s">
        <v>36</v>
      </c>
      <c r="B74">
        <v>65273511</v>
      </c>
      <c r="C74" t="s">
        <v>492</v>
      </c>
    </row>
    <row r="75" spans="1:3" x14ac:dyDescent="0.3">
      <c r="A75" t="s">
        <v>129</v>
      </c>
      <c r="B75">
        <v>298682</v>
      </c>
      <c r="C75" t="s">
        <v>493</v>
      </c>
    </row>
    <row r="76" spans="1:3" x14ac:dyDescent="0.3">
      <c r="A76" t="s">
        <v>282</v>
      </c>
      <c r="B76">
        <v>280908</v>
      </c>
      <c r="C76" t="s">
        <v>494</v>
      </c>
    </row>
    <row r="77" spans="1:3" x14ac:dyDescent="0.3">
      <c r="A77" t="s">
        <v>301</v>
      </c>
      <c r="B77">
        <v>2225734</v>
      </c>
      <c r="C77" t="s">
        <v>495</v>
      </c>
    </row>
    <row r="78" spans="1:3" x14ac:dyDescent="0.3">
      <c r="A78" t="s">
        <v>356</v>
      </c>
      <c r="B78">
        <v>2416668</v>
      </c>
      <c r="C78" t="s">
        <v>496</v>
      </c>
    </row>
    <row r="79" spans="1:3" x14ac:dyDescent="0.3">
      <c r="A79" t="s">
        <v>73</v>
      </c>
      <c r="B79">
        <v>3989167</v>
      </c>
      <c r="C79" t="s">
        <v>497</v>
      </c>
    </row>
    <row r="80" spans="1:3" x14ac:dyDescent="0.3">
      <c r="A80" t="s">
        <v>46</v>
      </c>
      <c r="B80">
        <v>83783942</v>
      </c>
      <c r="C80" t="s">
        <v>666</v>
      </c>
    </row>
    <row r="81" spans="1:3" x14ac:dyDescent="0.3">
      <c r="A81" t="s">
        <v>294</v>
      </c>
      <c r="B81">
        <v>31072940</v>
      </c>
      <c r="C81" t="s">
        <v>499</v>
      </c>
    </row>
    <row r="82" spans="1:3" x14ac:dyDescent="0.3">
      <c r="A82" t="s">
        <v>111</v>
      </c>
      <c r="B82">
        <v>33691</v>
      </c>
      <c r="C82" t="s">
        <v>500</v>
      </c>
    </row>
    <row r="83" spans="1:3" x14ac:dyDescent="0.3">
      <c r="A83" t="s">
        <v>74</v>
      </c>
      <c r="B83">
        <v>10423054</v>
      </c>
      <c r="C83" t="s">
        <v>501</v>
      </c>
    </row>
    <row r="84" spans="1:3" x14ac:dyDescent="0.3">
      <c r="A84" t="s">
        <v>318</v>
      </c>
      <c r="B84">
        <v>56770</v>
      </c>
      <c r="C84" t="s">
        <v>502</v>
      </c>
    </row>
    <row r="85" spans="1:3" x14ac:dyDescent="0.3">
      <c r="A85" t="s">
        <v>381</v>
      </c>
      <c r="B85">
        <v>112523</v>
      </c>
      <c r="C85" t="s">
        <v>503</v>
      </c>
    </row>
    <row r="86" spans="1:3" x14ac:dyDescent="0.3">
      <c r="A86" t="s">
        <v>284</v>
      </c>
      <c r="B86">
        <v>400124</v>
      </c>
      <c r="C86" t="s">
        <v>504</v>
      </c>
    </row>
    <row r="87" spans="1:3" x14ac:dyDescent="0.3">
      <c r="A87" t="s">
        <v>308</v>
      </c>
      <c r="B87">
        <v>168775</v>
      </c>
      <c r="C87" t="s">
        <v>505</v>
      </c>
    </row>
    <row r="88" spans="1:3" x14ac:dyDescent="0.3">
      <c r="A88" t="s">
        <v>302</v>
      </c>
      <c r="B88">
        <v>17915568</v>
      </c>
      <c r="C88" t="s">
        <v>506</v>
      </c>
    </row>
    <row r="89" spans="1:3" x14ac:dyDescent="0.3">
      <c r="A89" t="s">
        <v>289</v>
      </c>
      <c r="B89">
        <v>13132795</v>
      </c>
      <c r="C89" t="s">
        <v>507</v>
      </c>
    </row>
    <row r="90" spans="1:3" x14ac:dyDescent="0.3">
      <c r="A90" t="s">
        <v>359</v>
      </c>
      <c r="B90">
        <v>1968001</v>
      </c>
      <c r="C90" t="s">
        <v>508</v>
      </c>
    </row>
    <row r="91" spans="1:3" x14ac:dyDescent="0.3">
      <c r="A91" t="s">
        <v>276</v>
      </c>
      <c r="B91">
        <v>786552</v>
      </c>
      <c r="C91" t="s">
        <v>509</v>
      </c>
    </row>
    <row r="92" spans="1:3" x14ac:dyDescent="0.3">
      <c r="A92" t="s">
        <v>342</v>
      </c>
      <c r="B92">
        <v>11402528</v>
      </c>
      <c r="C92" t="s">
        <v>510</v>
      </c>
    </row>
    <row r="93" spans="1:3" x14ac:dyDescent="0.3">
      <c r="A93" t="s">
        <v>145</v>
      </c>
      <c r="B93">
        <v>801</v>
      </c>
      <c r="C93" t="s">
        <v>511</v>
      </c>
    </row>
    <row r="94" spans="1:3" x14ac:dyDescent="0.3">
      <c r="A94" t="s">
        <v>212</v>
      </c>
      <c r="B94">
        <v>9904607</v>
      </c>
      <c r="C94" t="s">
        <v>512</v>
      </c>
    </row>
    <row r="95" spans="1:3" x14ac:dyDescent="0.3">
      <c r="A95" t="s">
        <v>32</v>
      </c>
      <c r="B95">
        <v>7496981</v>
      </c>
      <c r="C95" t="s">
        <v>513</v>
      </c>
    </row>
    <row r="96" spans="1:3" x14ac:dyDescent="0.3">
      <c r="A96" t="s">
        <v>112</v>
      </c>
      <c r="B96">
        <v>9660351</v>
      </c>
      <c r="C96" t="s">
        <v>514</v>
      </c>
    </row>
    <row r="97" spans="1:3" x14ac:dyDescent="0.3">
      <c r="A97" t="s">
        <v>84</v>
      </c>
      <c r="B97">
        <v>341243</v>
      </c>
      <c r="C97" t="s">
        <v>515</v>
      </c>
    </row>
    <row r="98" spans="1:3" x14ac:dyDescent="0.3">
      <c r="A98" t="s">
        <v>52</v>
      </c>
      <c r="B98">
        <v>1380004385</v>
      </c>
      <c r="C98" t="s">
        <v>516</v>
      </c>
    </row>
    <row r="99" spans="1:3" x14ac:dyDescent="0.3">
      <c r="A99" t="s">
        <v>99</v>
      </c>
      <c r="B99">
        <v>273523615</v>
      </c>
      <c r="C99" t="s">
        <v>517</v>
      </c>
    </row>
    <row r="100" spans="1:3" x14ac:dyDescent="0.3">
      <c r="A100" t="s">
        <v>203</v>
      </c>
      <c r="B100">
        <v>83992949</v>
      </c>
      <c r="C100" t="s">
        <v>665</v>
      </c>
    </row>
    <row r="101" spans="1:3" x14ac:dyDescent="0.3">
      <c r="A101" t="s">
        <v>65</v>
      </c>
      <c r="B101">
        <v>40222493</v>
      </c>
      <c r="C101" t="s">
        <v>519</v>
      </c>
    </row>
    <row r="102" spans="1:3" x14ac:dyDescent="0.3">
      <c r="A102" t="s">
        <v>89</v>
      </c>
      <c r="B102">
        <v>4937786</v>
      </c>
      <c r="C102" t="s">
        <v>520</v>
      </c>
    </row>
    <row r="103" spans="1:3" x14ac:dyDescent="0.3">
      <c r="A103" t="s">
        <v>385</v>
      </c>
      <c r="B103">
        <v>85033</v>
      </c>
      <c r="C103" t="s">
        <v>521</v>
      </c>
    </row>
    <row r="104" spans="1:3" x14ac:dyDescent="0.3">
      <c r="A104" t="s">
        <v>61</v>
      </c>
      <c r="B104">
        <v>8655535</v>
      </c>
      <c r="C104" t="s">
        <v>522</v>
      </c>
    </row>
    <row r="105" spans="1:3" x14ac:dyDescent="0.3">
      <c r="A105" t="s">
        <v>55</v>
      </c>
      <c r="B105">
        <v>60461826</v>
      </c>
      <c r="C105" t="s">
        <v>419</v>
      </c>
    </row>
    <row r="106" spans="1:3" x14ac:dyDescent="0.3">
      <c r="A106" t="s">
        <v>214</v>
      </c>
      <c r="B106">
        <v>2961167</v>
      </c>
      <c r="C106" t="s">
        <v>523</v>
      </c>
    </row>
    <row r="107" spans="1:3" x14ac:dyDescent="0.3">
      <c r="A107" t="s">
        <v>2</v>
      </c>
      <c r="B107">
        <v>126476461</v>
      </c>
      <c r="C107" t="s">
        <v>422</v>
      </c>
    </row>
    <row r="108" spans="1:3" x14ac:dyDescent="0.3">
      <c r="A108" t="s">
        <v>108</v>
      </c>
      <c r="B108">
        <v>10203134</v>
      </c>
      <c r="C108" t="s">
        <v>524</v>
      </c>
    </row>
    <row r="109" spans="1:3" x14ac:dyDescent="0.3">
      <c r="A109" t="s">
        <v>281</v>
      </c>
      <c r="B109">
        <v>18776707</v>
      </c>
      <c r="C109" t="s">
        <v>525</v>
      </c>
    </row>
    <row r="110" spans="1:3" x14ac:dyDescent="0.3">
      <c r="A110" t="s">
        <v>291</v>
      </c>
      <c r="B110">
        <v>53771296</v>
      </c>
      <c r="C110" t="s">
        <v>526</v>
      </c>
    </row>
    <row r="111" spans="1:3" x14ac:dyDescent="0.3">
      <c r="A111" t="s">
        <v>379</v>
      </c>
      <c r="B111">
        <v>119449</v>
      </c>
      <c r="C111" t="s">
        <v>527</v>
      </c>
    </row>
    <row r="112" spans="1:3" x14ac:dyDescent="0.3">
      <c r="A112" t="s">
        <v>204</v>
      </c>
      <c r="B112">
        <v>51269185</v>
      </c>
      <c r="C112" t="s">
        <v>664</v>
      </c>
    </row>
    <row r="113" spans="1:3" x14ac:dyDescent="0.3">
      <c r="A113" t="s">
        <v>66</v>
      </c>
      <c r="B113">
        <v>4270571</v>
      </c>
      <c r="C113" t="s">
        <v>528</v>
      </c>
    </row>
    <row r="114" spans="1:3" x14ac:dyDescent="0.3">
      <c r="A114" t="s">
        <v>350</v>
      </c>
      <c r="B114">
        <v>6524195</v>
      </c>
      <c r="C114" t="s">
        <v>529</v>
      </c>
    </row>
    <row r="115" spans="1:3" x14ac:dyDescent="0.3">
      <c r="A115" t="s">
        <v>347</v>
      </c>
      <c r="B115">
        <v>7275560</v>
      </c>
      <c r="C115" t="s">
        <v>530</v>
      </c>
    </row>
    <row r="116" spans="1:3" x14ac:dyDescent="0.3">
      <c r="A116" t="s">
        <v>100</v>
      </c>
      <c r="B116">
        <v>1886198</v>
      </c>
      <c r="C116" t="s">
        <v>531</v>
      </c>
    </row>
    <row r="117" spans="1:3" x14ac:dyDescent="0.3">
      <c r="A117" t="s">
        <v>62</v>
      </c>
      <c r="B117">
        <v>6825445</v>
      </c>
      <c r="C117" t="s">
        <v>532</v>
      </c>
    </row>
    <row r="118" spans="1:3" x14ac:dyDescent="0.3">
      <c r="A118" t="s">
        <v>358</v>
      </c>
      <c r="B118">
        <v>2142249</v>
      </c>
      <c r="C118" t="s">
        <v>533</v>
      </c>
    </row>
    <row r="119" spans="1:3" x14ac:dyDescent="0.3">
      <c r="A119" t="s">
        <v>319</v>
      </c>
      <c r="B119">
        <v>5057681</v>
      </c>
      <c r="C119" t="s">
        <v>534</v>
      </c>
    </row>
    <row r="120" spans="1:3" x14ac:dyDescent="0.3">
      <c r="A120" t="s">
        <v>348</v>
      </c>
      <c r="B120">
        <v>6871292</v>
      </c>
      <c r="C120" t="s">
        <v>535</v>
      </c>
    </row>
    <row r="121" spans="1:3" x14ac:dyDescent="0.3">
      <c r="A121" t="s">
        <v>113</v>
      </c>
      <c r="B121">
        <v>38128</v>
      </c>
      <c r="C121" t="s">
        <v>536</v>
      </c>
    </row>
    <row r="122" spans="1:3" x14ac:dyDescent="0.3">
      <c r="A122" t="s">
        <v>85</v>
      </c>
      <c r="B122">
        <v>2722289</v>
      </c>
      <c r="C122" t="s">
        <v>537</v>
      </c>
    </row>
    <row r="123" spans="1:3" x14ac:dyDescent="0.3">
      <c r="A123" t="s">
        <v>90</v>
      </c>
      <c r="B123">
        <v>625978</v>
      </c>
      <c r="C123" t="s">
        <v>538</v>
      </c>
    </row>
    <row r="124" spans="1:3" x14ac:dyDescent="0.3">
      <c r="A124" t="s">
        <v>367</v>
      </c>
      <c r="B124">
        <v>649335</v>
      </c>
      <c r="C124" t="s">
        <v>539</v>
      </c>
    </row>
    <row r="125" spans="1:3" x14ac:dyDescent="0.3">
      <c r="A125" t="s">
        <v>330</v>
      </c>
      <c r="B125">
        <v>27691018</v>
      </c>
      <c r="C125" t="s">
        <v>540</v>
      </c>
    </row>
    <row r="126" spans="1:3" x14ac:dyDescent="0.3">
      <c r="A126" t="s">
        <v>336</v>
      </c>
      <c r="B126">
        <v>19129952</v>
      </c>
      <c r="C126" t="s">
        <v>541</v>
      </c>
    </row>
    <row r="127" spans="1:3" x14ac:dyDescent="0.3">
      <c r="A127" t="s">
        <v>38</v>
      </c>
      <c r="B127">
        <v>32365999</v>
      </c>
      <c r="C127" t="s">
        <v>542</v>
      </c>
    </row>
    <row r="128" spans="1:3" x14ac:dyDescent="0.3">
      <c r="A128" t="s">
        <v>134</v>
      </c>
      <c r="B128">
        <v>540544</v>
      </c>
      <c r="C128" t="s">
        <v>543</v>
      </c>
    </row>
    <row r="129" spans="1:3" x14ac:dyDescent="0.3">
      <c r="A129" t="s">
        <v>335</v>
      </c>
      <c r="B129">
        <v>20250833</v>
      </c>
      <c r="C129" t="s">
        <v>544</v>
      </c>
    </row>
    <row r="130" spans="1:3" x14ac:dyDescent="0.3">
      <c r="A130" t="s">
        <v>130</v>
      </c>
      <c r="B130">
        <v>441543</v>
      </c>
      <c r="C130" t="s">
        <v>545</v>
      </c>
    </row>
    <row r="131" spans="1:3" x14ac:dyDescent="0.3">
      <c r="A131" t="s">
        <v>388</v>
      </c>
      <c r="B131">
        <v>59190</v>
      </c>
      <c r="C131" t="s">
        <v>546</v>
      </c>
    </row>
    <row r="132" spans="1:3" x14ac:dyDescent="0.3">
      <c r="A132" t="s">
        <v>131</v>
      </c>
      <c r="B132">
        <v>375265</v>
      </c>
      <c r="C132" t="s">
        <v>547</v>
      </c>
    </row>
    <row r="133" spans="1:3" x14ac:dyDescent="0.3">
      <c r="A133" t="s">
        <v>303</v>
      </c>
      <c r="B133">
        <v>4649658</v>
      </c>
      <c r="C133" t="s">
        <v>548</v>
      </c>
    </row>
    <row r="134" spans="1:3" x14ac:dyDescent="0.3">
      <c r="A134" t="s">
        <v>361</v>
      </c>
      <c r="B134">
        <v>1271768</v>
      </c>
      <c r="C134" t="s">
        <v>549</v>
      </c>
    </row>
    <row r="135" spans="1:3" x14ac:dyDescent="0.3">
      <c r="A135" t="s">
        <v>313</v>
      </c>
      <c r="B135">
        <v>272815</v>
      </c>
      <c r="C135" t="s">
        <v>550</v>
      </c>
    </row>
    <row r="136" spans="1:3" x14ac:dyDescent="0.3">
      <c r="A136" t="s">
        <v>86</v>
      </c>
      <c r="B136">
        <v>128932753</v>
      </c>
      <c r="C136" t="s">
        <v>551</v>
      </c>
    </row>
    <row r="137" spans="1:3" x14ac:dyDescent="0.3">
      <c r="A137" t="s">
        <v>380</v>
      </c>
      <c r="B137">
        <v>115023</v>
      </c>
      <c r="C137" t="s">
        <v>552</v>
      </c>
    </row>
    <row r="138" spans="1:3" x14ac:dyDescent="0.3">
      <c r="A138" t="s">
        <v>209</v>
      </c>
      <c r="B138">
        <v>4033963</v>
      </c>
      <c r="C138" t="s">
        <v>553</v>
      </c>
    </row>
    <row r="139" spans="1:3" x14ac:dyDescent="0.3">
      <c r="A139" t="s">
        <v>91</v>
      </c>
      <c r="B139">
        <v>39242</v>
      </c>
      <c r="C139" t="s">
        <v>554</v>
      </c>
    </row>
    <row r="140" spans="1:3" x14ac:dyDescent="0.3">
      <c r="A140" t="s">
        <v>148</v>
      </c>
      <c r="B140">
        <v>3278290</v>
      </c>
      <c r="C140" t="s">
        <v>555</v>
      </c>
    </row>
    <row r="141" spans="1:3" x14ac:dyDescent="0.3">
      <c r="A141" t="s">
        <v>368</v>
      </c>
      <c r="B141">
        <v>628066</v>
      </c>
      <c r="C141" t="s">
        <v>556</v>
      </c>
    </row>
    <row r="142" spans="1:3" x14ac:dyDescent="0.3">
      <c r="A142" t="s">
        <v>406</v>
      </c>
      <c r="B142">
        <v>4992</v>
      </c>
      <c r="C142" t="s">
        <v>557</v>
      </c>
    </row>
    <row r="143" spans="1:3" x14ac:dyDescent="0.3">
      <c r="A143" t="s">
        <v>101</v>
      </c>
      <c r="B143">
        <v>36910560</v>
      </c>
      <c r="C143" t="s">
        <v>558</v>
      </c>
    </row>
    <row r="144" spans="1:3" x14ac:dyDescent="0.3">
      <c r="A144" t="s">
        <v>328</v>
      </c>
      <c r="B144">
        <v>31255435</v>
      </c>
      <c r="C144" t="s">
        <v>559</v>
      </c>
    </row>
    <row r="145" spans="1:3" x14ac:dyDescent="0.3">
      <c r="A145" t="s">
        <v>325</v>
      </c>
      <c r="B145">
        <v>54409800</v>
      </c>
      <c r="C145" t="s">
        <v>560</v>
      </c>
    </row>
    <row r="146" spans="1:3" x14ac:dyDescent="0.3">
      <c r="A146" t="s">
        <v>296</v>
      </c>
      <c r="B146">
        <v>2540905</v>
      </c>
      <c r="C146" t="s">
        <v>561</v>
      </c>
    </row>
    <row r="147" spans="1:3" x14ac:dyDescent="0.3">
      <c r="A147" t="s">
        <v>403</v>
      </c>
      <c r="B147">
        <v>10824</v>
      </c>
      <c r="C147" t="s">
        <v>562</v>
      </c>
    </row>
    <row r="148" spans="1:3" x14ac:dyDescent="0.3">
      <c r="A148" t="s">
        <v>39</v>
      </c>
      <c r="B148">
        <v>29136808</v>
      </c>
      <c r="C148" t="s">
        <v>563</v>
      </c>
    </row>
    <row r="149" spans="1:3" x14ac:dyDescent="0.3">
      <c r="A149" t="s">
        <v>81</v>
      </c>
      <c r="B149">
        <v>17134872</v>
      </c>
      <c r="C149" t="s">
        <v>564</v>
      </c>
    </row>
    <row r="150" spans="1:3" x14ac:dyDescent="0.3">
      <c r="A150" t="s">
        <v>375</v>
      </c>
      <c r="B150">
        <v>285498</v>
      </c>
      <c r="C150" t="s">
        <v>565</v>
      </c>
    </row>
    <row r="151" spans="1:3" x14ac:dyDescent="0.3">
      <c r="A151" t="s">
        <v>87</v>
      </c>
      <c r="B151">
        <v>4822233</v>
      </c>
      <c r="C151" t="s">
        <v>566</v>
      </c>
    </row>
    <row r="152" spans="1:3" x14ac:dyDescent="0.3">
      <c r="A152" t="s">
        <v>349</v>
      </c>
      <c r="B152">
        <v>6624554</v>
      </c>
      <c r="C152" t="s">
        <v>567</v>
      </c>
    </row>
    <row r="153" spans="1:3" x14ac:dyDescent="0.3">
      <c r="A153" t="s">
        <v>333</v>
      </c>
      <c r="B153">
        <v>24206644</v>
      </c>
      <c r="C153" t="s">
        <v>568</v>
      </c>
    </row>
    <row r="154" spans="1:3" x14ac:dyDescent="0.3">
      <c r="A154" t="s">
        <v>88</v>
      </c>
      <c r="B154">
        <v>206139589</v>
      </c>
      <c r="C154" t="s">
        <v>569</v>
      </c>
    </row>
    <row r="155" spans="1:3" x14ac:dyDescent="0.3">
      <c r="A155" t="s">
        <v>408</v>
      </c>
      <c r="B155">
        <v>1626</v>
      </c>
      <c r="C155" t="s">
        <v>570</v>
      </c>
    </row>
    <row r="156" spans="1:3" x14ac:dyDescent="0.3">
      <c r="A156" t="s">
        <v>332</v>
      </c>
      <c r="B156">
        <v>25778816</v>
      </c>
      <c r="C156" t="s">
        <v>571</v>
      </c>
    </row>
    <row r="157" spans="1:3" x14ac:dyDescent="0.3">
      <c r="A157" t="s">
        <v>75</v>
      </c>
      <c r="B157">
        <v>2083374</v>
      </c>
      <c r="C157" t="s">
        <v>572</v>
      </c>
    </row>
    <row r="158" spans="1:3" x14ac:dyDescent="0.3">
      <c r="A158" t="s">
        <v>389</v>
      </c>
      <c r="B158">
        <v>57559</v>
      </c>
      <c r="C158" t="s">
        <v>573</v>
      </c>
    </row>
    <row r="159" spans="1:3" x14ac:dyDescent="0.3">
      <c r="A159" t="s">
        <v>76</v>
      </c>
      <c r="B159">
        <v>5421241</v>
      </c>
      <c r="C159" t="s">
        <v>574</v>
      </c>
    </row>
    <row r="160" spans="1:3" x14ac:dyDescent="0.3">
      <c r="A160" t="s">
        <v>67</v>
      </c>
      <c r="B160">
        <v>5106626</v>
      </c>
      <c r="C160" t="s">
        <v>575</v>
      </c>
    </row>
    <row r="161" spans="1:3" x14ac:dyDescent="0.3">
      <c r="A161" t="s">
        <v>77</v>
      </c>
      <c r="B161">
        <v>220892340</v>
      </c>
      <c r="C161" t="s">
        <v>576</v>
      </c>
    </row>
    <row r="162" spans="1:3" x14ac:dyDescent="0.3">
      <c r="A162" t="s">
        <v>398</v>
      </c>
      <c r="B162">
        <v>18094</v>
      </c>
      <c r="C162" t="s">
        <v>577</v>
      </c>
    </row>
    <row r="163" spans="1:3" x14ac:dyDescent="0.3">
      <c r="A163" t="s">
        <v>149</v>
      </c>
      <c r="B163">
        <v>4314767</v>
      </c>
      <c r="C163" t="s">
        <v>578</v>
      </c>
    </row>
    <row r="164" spans="1:3" x14ac:dyDescent="0.3">
      <c r="A164" t="s">
        <v>345</v>
      </c>
      <c r="B164">
        <v>8947024</v>
      </c>
      <c r="C164" t="s">
        <v>579</v>
      </c>
    </row>
    <row r="165" spans="1:3" x14ac:dyDescent="0.3">
      <c r="A165" t="s">
        <v>135</v>
      </c>
      <c r="B165">
        <v>7132538</v>
      </c>
      <c r="C165" t="s">
        <v>580</v>
      </c>
    </row>
    <row r="166" spans="1:3" x14ac:dyDescent="0.3">
      <c r="A166" t="s">
        <v>125</v>
      </c>
      <c r="B166">
        <v>32971854</v>
      </c>
      <c r="C166" t="s">
        <v>581</v>
      </c>
    </row>
    <row r="167" spans="1:3" x14ac:dyDescent="0.3">
      <c r="A167" t="s">
        <v>53</v>
      </c>
      <c r="B167">
        <v>109581078</v>
      </c>
      <c r="C167" t="s">
        <v>582</v>
      </c>
    </row>
    <row r="168" spans="1:3" x14ac:dyDescent="0.3">
      <c r="A168" t="s">
        <v>114</v>
      </c>
      <c r="B168">
        <v>37846611</v>
      </c>
      <c r="C168" t="s">
        <v>583</v>
      </c>
    </row>
    <row r="169" spans="1:3" x14ac:dyDescent="0.3">
      <c r="A169" t="s">
        <v>102</v>
      </c>
      <c r="B169">
        <v>10196709</v>
      </c>
      <c r="C169" t="s">
        <v>584</v>
      </c>
    </row>
    <row r="170" spans="1:3" x14ac:dyDescent="0.3">
      <c r="A170" t="s">
        <v>295</v>
      </c>
      <c r="B170">
        <v>2860853</v>
      </c>
      <c r="C170" t="s">
        <v>585</v>
      </c>
    </row>
    <row r="171" spans="1:3" x14ac:dyDescent="0.3">
      <c r="A171" t="s">
        <v>92</v>
      </c>
      <c r="B171">
        <v>2881053</v>
      </c>
      <c r="C171" t="s">
        <v>586</v>
      </c>
    </row>
    <row r="172" spans="1:3" x14ac:dyDescent="0.3">
      <c r="A172" t="s">
        <v>364</v>
      </c>
      <c r="B172">
        <v>895312</v>
      </c>
      <c r="C172" t="s">
        <v>587</v>
      </c>
    </row>
    <row r="173" spans="1:3" x14ac:dyDescent="0.3">
      <c r="A173" t="s">
        <v>78</v>
      </c>
      <c r="B173">
        <v>19237691</v>
      </c>
      <c r="C173" t="s">
        <v>588</v>
      </c>
    </row>
    <row r="174" spans="1:3" x14ac:dyDescent="0.3">
      <c r="A174" t="s">
        <v>208</v>
      </c>
      <c r="B174">
        <v>145934462</v>
      </c>
      <c r="C174" t="s">
        <v>589</v>
      </c>
    </row>
    <row r="175" spans="1:3" x14ac:dyDescent="0.3">
      <c r="A175" t="s">
        <v>304</v>
      </c>
      <c r="B175">
        <v>12952218</v>
      </c>
      <c r="C175" t="s">
        <v>590</v>
      </c>
    </row>
    <row r="176" spans="1:3" x14ac:dyDescent="0.3">
      <c r="A176" t="s">
        <v>115</v>
      </c>
      <c r="B176">
        <v>9877</v>
      </c>
      <c r="C176" t="s">
        <v>591</v>
      </c>
    </row>
    <row r="177" spans="1:22" x14ac:dyDescent="0.3">
      <c r="A177" t="s">
        <v>404</v>
      </c>
      <c r="B177">
        <v>6077</v>
      </c>
      <c r="C177" t="s">
        <v>592</v>
      </c>
    </row>
    <row r="178" spans="1:22" x14ac:dyDescent="0.3">
      <c r="A178" t="s">
        <v>391</v>
      </c>
      <c r="B178">
        <v>53199</v>
      </c>
      <c r="C178" t="s">
        <v>593</v>
      </c>
    </row>
    <row r="179" spans="1:22" x14ac:dyDescent="0.3">
      <c r="A179" t="s">
        <v>305</v>
      </c>
      <c r="B179">
        <v>183627</v>
      </c>
      <c r="C179" t="s">
        <v>594</v>
      </c>
    </row>
    <row r="180" spans="1:22" x14ac:dyDescent="0.3">
      <c r="A180" t="s">
        <v>395</v>
      </c>
      <c r="B180">
        <v>38666</v>
      </c>
      <c r="C180" t="s">
        <v>595</v>
      </c>
    </row>
    <row r="181" spans="1:22" x14ac:dyDescent="0.3">
      <c r="A181" t="s">
        <v>405</v>
      </c>
      <c r="B181">
        <v>5794</v>
      </c>
      <c r="C181" t="s">
        <v>596</v>
      </c>
    </row>
    <row r="182" spans="1:22" x14ac:dyDescent="0.3">
      <c r="A182" t="s">
        <v>377</v>
      </c>
      <c r="B182">
        <v>198414</v>
      </c>
      <c r="C182" t="s">
        <v>597</v>
      </c>
      <c r="T182" t="s">
        <v>322</v>
      </c>
      <c r="U182" t="s">
        <v>323</v>
      </c>
      <c r="V182" t="s">
        <v>414</v>
      </c>
    </row>
    <row r="183" spans="1:22" x14ac:dyDescent="0.3">
      <c r="A183" t="s">
        <v>82</v>
      </c>
      <c r="B183">
        <v>33931</v>
      </c>
      <c r="C183" t="s">
        <v>598</v>
      </c>
      <c r="T183" t="s">
        <v>63</v>
      </c>
      <c r="U183">
        <v>38928346</v>
      </c>
      <c r="V183" t="s">
        <v>423</v>
      </c>
    </row>
    <row r="184" spans="1:22" x14ac:dyDescent="0.3">
      <c r="A184" t="s">
        <v>376</v>
      </c>
      <c r="B184">
        <v>219159</v>
      </c>
      <c r="C184" t="s">
        <v>599</v>
      </c>
      <c r="T184" t="s">
        <v>139</v>
      </c>
      <c r="U184">
        <v>2877797</v>
      </c>
      <c r="V184" t="s">
        <v>424</v>
      </c>
    </row>
    <row r="185" spans="1:22" x14ac:dyDescent="0.3">
      <c r="A185" t="s">
        <v>103</v>
      </c>
      <c r="B185">
        <v>34813871</v>
      </c>
      <c r="C185" t="s">
        <v>600</v>
      </c>
      <c r="T185" t="s">
        <v>68</v>
      </c>
      <c r="U185">
        <v>43851044</v>
      </c>
      <c r="V185" t="s">
        <v>425</v>
      </c>
    </row>
    <row r="186" spans="1:22" x14ac:dyDescent="0.3">
      <c r="A186" t="s">
        <v>104</v>
      </c>
      <c r="B186">
        <v>16743927</v>
      </c>
      <c r="C186" t="s">
        <v>601</v>
      </c>
      <c r="T186" t="s">
        <v>390</v>
      </c>
      <c r="U186">
        <v>55191</v>
      </c>
      <c r="V186" t="s">
        <v>426</v>
      </c>
    </row>
    <row r="187" spans="1:22" x14ac:dyDescent="0.3">
      <c r="A187" t="s">
        <v>126</v>
      </c>
      <c r="B187">
        <v>8737371</v>
      </c>
      <c r="C187" t="s">
        <v>602</v>
      </c>
      <c r="T187" t="s">
        <v>98</v>
      </c>
      <c r="U187">
        <v>77265</v>
      </c>
      <c r="V187" t="s">
        <v>427</v>
      </c>
    </row>
    <row r="188" spans="1:22" x14ac:dyDescent="0.3">
      <c r="A188" t="s">
        <v>297</v>
      </c>
      <c r="B188">
        <v>98347</v>
      </c>
      <c r="C188" t="s">
        <v>603</v>
      </c>
      <c r="T188" t="s">
        <v>327</v>
      </c>
      <c r="U188">
        <v>32866272</v>
      </c>
      <c r="V188" t="s">
        <v>428</v>
      </c>
    </row>
    <row r="189" spans="1:22" x14ac:dyDescent="0.3">
      <c r="A189" t="s">
        <v>346</v>
      </c>
      <c r="B189">
        <v>7976983</v>
      </c>
      <c r="C189" t="s">
        <v>604</v>
      </c>
      <c r="T189" t="s">
        <v>400</v>
      </c>
      <c r="U189">
        <v>15003</v>
      </c>
      <c r="V189" t="s">
        <v>429</v>
      </c>
    </row>
    <row r="190" spans="1:22" x14ac:dyDescent="0.3">
      <c r="A190" t="s">
        <v>29</v>
      </c>
      <c r="B190">
        <v>5850342</v>
      </c>
      <c r="C190" t="s">
        <v>421</v>
      </c>
      <c r="T190" t="s">
        <v>292</v>
      </c>
      <c r="U190">
        <v>97929</v>
      </c>
      <c r="V190" t="s">
        <v>430</v>
      </c>
    </row>
    <row r="191" spans="1:22" x14ac:dyDescent="0.3">
      <c r="A191" t="s">
        <v>393</v>
      </c>
      <c r="B191">
        <v>42876</v>
      </c>
      <c r="C191" t="s">
        <v>605</v>
      </c>
      <c r="T191" t="s">
        <v>106</v>
      </c>
      <c r="U191">
        <v>45195774</v>
      </c>
      <c r="V191" t="s">
        <v>431</v>
      </c>
    </row>
    <row r="192" spans="1:22" x14ac:dyDescent="0.3">
      <c r="A192" t="s">
        <v>127</v>
      </c>
      <c r="B192">
        <v>5459642</v>
      </c>
      <c r="C192" t="s">
        <v>606</v>
      </c>
      <c r="T192" t="s">
        <v>94</v>
      </c>
      <c r="U192">
        <v>2963243</v>
      </c>
      <c r="V192" t="s">
        <v>432</v>
      </c>
    </row>
    <row r="193" spans="1:22" x14ac:dyDescent="0.3">
      <c r="A193" t="s">
        <v>119</v>
      </c>
      <c r="B193">
        <v>2078938</v>
      </c>
      <c r="C193" t="s">
        <v>607</v>
      </c>
      <c r="T193" t="s">
        <v>290</v>
      </c>
      <c r="U193">
        <v>106766</v>
      </c>
      <c r="V193" t="s">
        <v>433</v>
      </c>
    </row>
    <row r="194" spans="1:22" x14ac:dyDescent="0.3">
      <c r="A194" t="s">
        <v>366</v>
      </c>
      <c r="B194">
        <v>686884</v>
      </c>
      <c r="C194" t="s">
        <v>608</v>
      </c>
      <c r="T194" t="s">
        <v>42</v>
      </c>
      <c r="U194">
        <v>25499884</v>
      </c>
      <c r="V194" t="s">
        <v>415</v>
      </c>
    </row>
    <row r="195" spans="1:22" x14ac:dyDescent="0.3">
      <c r="A195" t="s">
        <v>320</v>
      </c>
      <c r="B195">
        <v>15893222</v>
      </c>
      <c r="C195" t="s">
        <v>609</v>
      </c>
      <c r="T195" t="s">
        <v>69</v>
      </c>
      <c r="U195">
        <v>9006398</v>
      </c>
      <c r="V195" t="s">
        <v>434</v>
      </c>
    </row>
    <row r="196" spans="1:22" x14ac:dyDescent="0.3">
      <c r="A196" t="s">
        <v>120</v>
      </c>
      <c r="B196">
        <v>59308690</v>
      </c>
      <c r="C196" t="s">
        <v>610</v>
      </c>
      <c r="T196" t="s">
        <v>95</v>
      </c>
      <c r="U196">
        <v>10139177</v>
      </c>
      <c r="V196" t="s">
        <v>435</v>
      </c>
    </row>
    <row r="197" spans="1:22" x14ac:dyDescent="0.3">
      <c r="A197" t="s">
        <v>343</v>
      </c>
      <c r="B197">
        <v>11193725</v>
      </c>
      <c r="C197" t="s">
        <v>611</v>
      </c>
      <c r="T197" t="s">
        <v>372</v>
      </c>
      <c r="U197">
        <v>393244</v>
      </c>
      <c r="V197" t="s">
        <v>436</v>
      </c>
    </row>
    <row r="198" spans="1:22" x14ac:dyDescent="0.3">
      <c r="A198" t="s">
        <v>57</v>
      </c>
      <c r="B198">
        <v>46754778</v>
      </c>
      <c r="C198" t="s">
        <v>612</v>
      </c>
      <c r="T198" t="s">
        <v>64</v>
      </c>
      <c r="U198">
        <v>1701575</v>
      </c>
      <c r="V198" t="s">
        <v>437</v>
      </c>
    </row>
    <row r="199" spans="1:22" x14ac:dyDescent="0.3">
      <c r="A199" t="s">
        <v>47</v>
      </c>
      <c r="B199">
        <v>21413249</v>
      </c>
      <c r="C199" t="s">
        <v>613</v>
      </c>
      <c r="T199" t="s">
        <v>132</v>
      </c>
      <c r="U199">
        <v>164689383</v>
      </c>
      <c r="V199" t="s">
        <v>438</v>
      </c>
    </row>
    <row r="200" spans="1:22" x14ac:dyDescent="0.3">
      <c r="A200" t="s">
        <v>382</v>
      </c>
      <c r="B200">
        <v>110940</v>
      </c>
      <c r="C200" t="s">
        <v>614</v>
      </c>
      <c r="T200" t="s">
        <v>374</v>
      </c>
      <c r="U200">
        <v>287375</v>
      </c>
      <c r="V200" t="s">
        <v>439</v>
      </c>
    </row>
    <row r="201" spans="1:22" x14ac:dyDescent="0.3">
      <c r="A201" t="s">
        <v>354</v>
      </c>
      <c r="B201">
        <v>5101414</v>
      </c>
      <c r="C201" t="s">
        <v>615</v>
      </c>
      <c r="T201" t="s">
        <v>83</v>
      </c>
      <c r="U201">
        <v>9449323</v>
      </c>
      <c r="V201" t="s">
        <v>440</v>
      </c>
    </row>
    <row r="202" spans="1:22" x14ac:dyDescent="0.3">
      <c r="A202" t="s">
        <v>288</v>
      </c>
      <c r="B202">
        <v>43849260</v>
      </c>
      <c r="C202" t="s">
        <v>616</v>
      </c>
      <c r="T202" t="s">
        <v>59</v>
      </c>
      <c r="U202">
        <v>11589623</v>
      </c>
      <c r="V202" t="s">
        <v>441</v>
      </c>
    </row>
    <row r="203" spans="1:22" x14ac:dyDescent="0.3">
      <c r="A203" t="s">
        <v>306</v>
      </c>
      <c r="B203">
        <v>586632</v>
      </c>
      <c r="C203" t="s">
        <v>617</v>
      </c>
      <c r="T203" t="s">
        <v>371</v>
      </c>
      <c r="U203">
        <v>397628</v>
      </c>
      <c r="V203" t="s">
        <v>442</v>
      </c>
    </row>
    <row r="204" spans="1:22" x14ac:dyDescent="0.3">
      <c r="A204" t="s">
        <v>56</v>
      </c>
      <c r="B204">
        <v>10099265</v>
      </c>
      <c r="C204" t="s">
        <v>618</v>
      </c>
      <c r="T204" t="s">
        <v>317</v>
      </c>
      <c r="U204">
        <v>12123200</v>
      </c>
      <c r="V204" t="s">
        <v>443</v>
      </c>
    </row>
    <row r="205" spans="1:22" x14ac:dyDescent="0.3">
      <c r="A205" t="s">
        <v>71</v>
      </c>
      <c r="B205">
        <v>8654622</v>
      </c>
      <c r="C205" t="s">
        <v>619</v>
      </c>
      <c r="T205" t="s">
        <v>387</v>
      </c>
      <c r="U205">
        <v>62278</v>
      </c>
      <c r="V205" t="s">
        <v>444</v>
      </c>
    </row>
    <row r="206" spans="1:22" x14ac:dyDescent="0.3">
      <c r="A206" t="s">
        <v>338</v>
      </c>
      <c r="B206">
        <v>17500658</v>
      </c>
      <c r="C206" t="s">
        <v>620</v>
      </c>
      <c r="T206" t="s">
        <v>121</v>
      </c>
      <c r="U206">
        <v>771608</v>
      </c>
      <c r="V206" t="s">
        <v>445</v>
      </c>
    </row>
    <row r="207" spans="1:22" x14ac:dyDescent="0.3">
      <c r="A207" t="s">
        <v>334</v>
      </c>
      <c r="B207">
        <v>23816775</v>
      </c>
      <c r="C207" t="s">
        <v>621</v>
      </c>
      <c r="T207" t="s">
        <v>210</v>
      </c>
      <c r="U207">
        <v>11673021</v>
      </c>
      <c r="V207" t="s">
        <v>446</v>
      </c>
    </row>
    <row r="208" spans="1:22" x14ac:dyDescent="0.3">
      <c r="A208" t="s">
        <v>344</v>
      </c>
      <c r="B208">
        <v>9537645</v>
      </c>
      <c r="C208" t="s">
        <v>622</v>
      </c>
      <c r="T208" t="s">
        <v>118</v>
      </c>
      <c r="U208">
        <v>3280819</v>
      </c>
      <c r="V208" t="s">
        <v>447</v>
      </c>
    </row>
    <row r="209" spans="1:22" x14ac:dyDescent="0.3">
      <c r="A209" t="s">
        <v>321</v>
      </c>
      <c r="B209">
        <v>59734218</v>
      </c>
      <c r="C209" t="s">
        <v>623</v>
      </c>
      <c r="T209" t="s">
        <v>357</v>
      </c>
      <c r="U209">
        <v>2351627</v>
      </c>
      <c r="V209" t="s">
        <v>448</v>
      </c>
    </row>
    <row r="210" spans="1:22" x14ac:dyDescent="0.3">
      <c r="A210" t="s">
        <v>3</v>
      </c>
      <c r="B210">
        <v>69799978</v>
      </c>
      <c r="C210" t="s">
        <v>624</v>
      </c>
      <c r="T210" t="s">
        <v>72</v>
      </c>
      <c r="U210">
        <v>212559417</v>
      </c>
      <c r="V210" t="s">
        <v>449</v>
      </c>
    </row>
    <row r="211" spans="1:22" x14ac:dyDescent="0.3">
      <c r="A211" t="s">
        <v>360</v>
      </c>
      <c r="B211">
        <v>1318445</v>
      </c>
      <c r="C211" t="s">
        <v>625</v>
      </c>
      <c r="T211" t="s">
        <v>396</v>
      </c>
      <c r="U211">
        <v>30231</v>
      </c>
      <c r="V211" t="s">
        <v>450</v>
      </c>
    </row>
    <row r="212" spans="1:22" x14ac:dyDescent="0.3">
      <c r="A212" t="s">
        <v>128</v>
      </c>
      <c r="B212">
        <v>8278724</v>
      </c>
      <c r="C212" t="s">
        <v>626</v>
      </c>
      <c r="T212" t="s">
        <v>141</v>
      </c>
      <c r="U212">
        <v>437479</v>
      </c>
      <c r="V212" t="s">
        <v>451</v>
      </c>
    </row>
    <row r="213" spans="1:22" x14ac:dyDescent="0.3">
      <c r="A213" t="s">
        <v>409</v>
      </c>
      <c r="B213">
        <v>1357</v>
      </c>
      <c r="C213" t="s">
        <v>627</v>
      </c>
      <c r="T213" t="s">
        <v>133</v>
      </c>
      <c r="U213">
        <v>6948445</v>
      </c>
      <c r="V213" t="s">
        <v>452</v>
      </c>
    </row>
    <row r="214" spans="1:22" x14ac:dyDescent="0.3">
      <c r="A214" t="s">
        <v>383</v>
      </c>
      <c r="B214">
        <v>105695</v>
      </c>
      <c r="C214" t="s">
        <v>628</v>
      </c>
      <c r="T214" t="s">
        <v>146</v>
      </c>
      <c r="U214">
        <v>20903273</v>
      </c>
      <c r="V214" t="s">
        <v>453</v>
      </c>
    </row>
    <row r="215" spans="1:22" x14ac:dyDescent="0.3">
      <c r="A215" t="s">
        <v>298</v>
      </c>
      <c r="B215">
        <v>1399488</v>
      </c>
      <c r="C215" t="s">
        <v>629</v>
      </c>
      <c r="T215" t="s">
        <v>341</v>
      </c>
      <c r="U215">
        <v>11890784</v>
      </c>
      <c r="V215" t="s">
        <v>454</v>
      </c>
    </row>
    <row r="216" spans="1:22" x14ac:dyDescent="0.3">
      <c r="A216" t="s">
        <v>116</v>
      </c>
      <c r="B216">
        <v>11818619</v>
      </c>
      <c r="C216" t="s">
        <v>630</v>
      </c>
      <c r="T216" t="s">
        <v>370</v>
      </c>
      <c r="U216">
        <v>555987</v>
      </c>
      <c r="V216" t="s">
        <v>455</v>
      </c>
    </row>
    <row r="217" spans="1:22" x14ac:dyDescent="0.3">
      <c r="A217" t="s">
        <v>216</v>
      </c>
      <c r="B217">
        <v>84339067</v>
      </c>
      <c r="C217" t="s">
        <v>631</v>
      </c>
      <c r="T217" t="s">
        <v>45</v>
      </c>
      <c r="U217">
        <v>16718965</v>
      </c>
      <c r="V217" t="s">
        <v>456</v>
      </c>
    </row>
    <row r="218" spans="1:22" x14ac:dyDescent="0.3">
      <c r="A218" t="s">
        <v>352</v>
      </c>
      <c r="B218">
        <v>6031200</v>
      </c>
      <c r="C218" t="s">
        <v>632</v>
      </c>
      <c r="T218" t="s">
        <v>122</v>
      </c>
      <c r="U218">
        <v>26545863</v>
      </c>
      <c r="V218" t="s">
        <v>457</v>
      </c>
    </row>
    <row r="219" spans="1:22" x14ac:dyDescent="0.3">
      <c r="A219" t="s">
        <v>394</v>
      </c>
      <c r="B219">
        <v>38717</v>
      </c>
      <c r="C219" t="s">
        <v>633</v>
      </c>
      <c r="T219" t="s">
        <v>43</v>
      </c>
      <c r="U219">
        <v>37742154</v>
      </c>
      <c r="V219" t="s">
        <v>651</v>
      </c>
    </row>
    <row r="220" spans="1:22" x14ac:dyDescent="0.3">
      <c r="A220" t="s">
        <v>401</v>
      </c>
      <c r="B220">
        <v>11792</v>
      </c>
      <c r="C220" t="s">
        <v>634</v>
      </c>
      <c r="T220" t="s">
        <v>397</v>
      </c>
      <c r="U220">
        <v>26223</v>
      </c>
      <c r="V220" t="s">
        <v>458</v>
      </c>
    </row>
    <row r="221" spans="1:22" x14ac:dyDescent="0.3">
      <c r="A221" t="s">
        <v>384</v>
      </c>
      <c r="B221">
        <v>104425</v>
      </c>
      <c r="C221" t="s">
        <v>635</v>
      </c>
      <c r="T221" t="s">
        <v>283</v>
      </c>
      <c r="U221">
        <v>65722</v>
      </c>
      <c r="V221" t="s">
        <v>459</v>
      </c>
    </row>
    <row r="222" spans="1:22" x14ac:dyDescent="0.3">
      <c r="A222" t="s">
        <v>326</v>
      </c>
      <c r="B222">
        <v>45741007</v>
      </c>
      <c r="C222" t="s">
        <v>636</v>
      </c>
      <c r="T222" t="s">
        <v>311</v>
      </c>
      <c r="U222">
        <v>4829767</v>
      </c>
      <c r="V222" t="s">
        <v>460</v>
      </c>
    </row>
    <row r="223" spans="1:22" x14ac:dyDescent="0.3">
      <c r="A223" t="s">
        <v>109</v>
      </c>
      <c r="B223">
        <v>43733762</v>
      </c>
      <c r="C223" t="s">
        <v>637</v>
      </c>
      <c r="T223" t="s">
        <v>339</v>
      </c>
      <c r="U223">
        <v>16425864</v>
      </c>
      <c r="V223" t="s">
        <v>461</v>
      </c>
    </row>
    <row r="224" spans="1:22" x14ac:dyDescent="0.3">
      <c r="A224" t="s">
        <v>50</v>
      </c>
      <c r="B224">
        <v>9890402</v>
      </c>
      <c r="C224" t="s">
        <v>638</v>
      </c>
      <c r="T224" t="s">
        <v>147</v>
      </c>
      <c r="U224">
        <v>173863</v>
      </c>
      <c r="V224" t="s">
        <v>462</v>
      </c>
    </row>
    <row r="225" spans="1:22" x14ac:dyDescent="0.3">
      <c r="A225" t="s">
        <v>205</v>
      </c>
      <c r="B225">
        <v>67886011</v>
      </c>
      <c r="C225" t="s">
        <v>417</v>
      </c>
      <c r="T225" t="s">
        <v>107</v>
      </c>
      <c r="U225">
        <v>19116201</v>
      </c>
      <c r="V225" t="s">
        <v>463</v>
      </c>
    </row>
    <row r="226" spans="1:22" x14ac:dyDescent="0.3">
      <c r="A226" t="s">
        <v>293</v>
      </c>
      <c r="B226">
        <v>3473730</v>
      </c>
      <c r="C226" t="s">
        <v>639</v>
      </c>
      <c r="T226" t="s">
        <v>202</v>
      </c>
      <c r="U226">
        <v>1439323776</v>
      </c>
      <c r="V226" t="s">
        <v>418</v>
      </c>
    </row>
    <row r="227" spans="1:22" x14ac:dyDescent="0.3">
      <c r="A227" t="s">
        <v>18</v>
      </c>
      <c r="B227">
        <v>331002651</v>
      </c>
      <c r="C227" t="s">
        <v>416</v>
      </c>
      <c r="T227" t="s">
        <v>123</v>
      </c>
      <c r="U227">
        <v>50882891</v>
      </c>
      <c r="V227" t="s">
        <v>464</v>
      </c>
    </row>
    <row r="228" spans="1:22" x14ac:dyDescent="0.3">
      <c r="A228" t="s">
        <v>314</v>
      </c>
      <c r="B228">
        <v>33469203</v>
      </c>
      <c r="C228" t="s">
        <v>640</v>
      </c>
      <c r="T228" t="s">
        <v>365</v>
      </c>
      <c r="U228">
        <v>869601</v>
      </c>
      <c r="V228" t="s">
        <v>465</v>
      </c>
    </row>
    <row r="229" spans="1:22" x14ac:dyDescent="0.3">
      <c r="A229" t="s">
        <v>373</v>
      </c>
      <c r="B229">
        <v>307145</v>
      </c>
      <c r="C229" t="s">
        <v>641</v>
      </c>
      <c r="T229" t="s">
        <v>353</v>
      </c>
      <c r="U229">
        <v>5518087</v>
      </c>
      <c r="V229" t="s">
        <v>466</v>
      </c>
    </row>
    <row r="230" spans="1:22" x14ac:dyDescent="0.3">
      <c r="A230" t="s">
        <v>299</v>
      </c>
      <c r="B230">
        <v>28435940</v>
      </c>
      <c r="C230" t="s">
        <v>642</v>
      </c>
      <c r="T230" t="s">
        <v>399</v>
      </c>
      <c r="U230">
        <v>17564</v>
      </c>
      <c r="V230" t="s">
        <v>467</v>
      </c>
    </row>
    <row r="231" spans="1:22" x14ac:dyDescent="0.3">
      <c r="A231" t="s">
        <v>207</v>
      </c>
      <c r="B231">
        <v>97338579</v>
      </c>
      <c r="C231" t="s">
        <v>643</v>
      </c>
      <c r="T231" t="s">
        <v>124</v>
      </c>
      <c r="U231">
        <v>5094118</v>
      </c>
      <c r="V231" t="s">
        <v>468</v>
      </c>
    </row>
    <row r="232" spans="1:22" x14ac:dyDescent="0.3">
      <c r="A232" t="s">
        <v>402</v>
      </c>
      <c r="B232">
        <v>11239</v>
      </c>
      <c r="C232" t="s">
        <v>644</v>
      </c>
      <c r="T232" t="s">
        <v>331</v>
      </c>
      <c r="U232">
        <v>26378274</v>
      </c>
      <c r="V232" t="s">
        <v>469</v>
      </c>
    </row>
    <row r="233" spans="1:22" x14ac:dyDescent="0.3">
      <c r="A233" t="s">
        <v>369</v>
      </c>
      <c r="B233">
        <v>597339</v>
      </c>
      <c r="C233" t="s">
        <v>645</v>
      </c>
      <c r="T233" t="s">
        <v>70</v>
      </c>
      <c r="U233">
        <v>4105267</v>
      </c>
      <c r="V233" t="s">
        <v>470</v>
      </c>
    </row>
    <row r="234" spans="1:22" x14ac:dyDescent="0.3">
      <c r="A234" t="s">
        <v>329</v>
      </c>
      <c r="B234">
        <v>29825964</v>
      </c>
      <c r="C234" t="s">
        <v>646</v>
      </c>
      <c r="T234" t="s">
        <v>275</v>
      </c>
      <c r="U234">
        <v>11326616</v>
      </c>
      <c r="V234" t="s">
        <v>471</v>
      </c>
    </row>
    <row r="235" spans="1:22" x14ac:dyDescent="0.3">
      <c r="A235" t="s">
        <v>337</v>
      </c>
      <c r="B235">
        <v>18383955</v>
      </c>
      <c r="C235" t="s">
        <v>647</v>
      </c>
      <c r="T235" t="s">
        <v>378</v>
      </c>
      <c r="U235">
        <v>164093</v>
      </c>
      <c r="V235" t="s">
        <v>472</v>
      </c>
    </row>
    <row r="236" spans="1:22" x14ac:dyDescent="0.3">
      <c r="A236" t="s">
        <v>340</v>
      </c>
      <c r="B236">
        <v>14862924</v>
      </c>
      <c r="C236" t="s">
        <v>648</v>
      </c>
      <c r="T236" t="s">
        <v>140</v>
      </c>
      <c r="U236">
        <v>1207359</v>
      </c>
      <c r="V236" t="s">
        <v>473</v>
      </c>
    </row>
    <row r="237" spans="1:22" x14ac:dyDescent="0.3">
      <c r="A237" t="s">
        <v>41</v>
      </c>
      <c r="C237" t="s">
        <v>662</v>
      </c>
      <c r="T237" t="s">
        <v>206</v>
      </c>
      <c r="U237">
        <v>10708981</v>
      </c>
      <c r="V237" t="s">
        <v>474</v>
      </c>
    </row>
    <row r="238" spans="1:22" x14ac:dyDescent="0.3">
      <c r="A238" t="s">
        <v>44</v>
      </c>
      <c r="C238" t="s">
        <v>658</v>
      </c>
      <c r="T238" t="s">
        <v>79</v>
      </c>
      <c r="U238">
        <v>5792202</v>
      </c>
      <c r="V238" t="s">
        <v>475</v>
      </c>
    </row>
    <row r="239" spans="1:22" x14ac:dyDescent="0.3">
      <c r="A239" t="s">
        <v>51</v>
      </c>
      <c r="C239" t="s">
        <v>661</v>
      </c>
      <c r="T239" t="s">
        <v>362</v>
      </c>
      <c r="U239">
        <v>988000</v>
      </c>
      <c r="V239" t="s">
        <v>476</v>
      </c>
    </row>
    <row r="240" spans="1:22" x14ac:dyDescent="0.3">
      <c r="A240" t="s">
        <v>58</v>
      </c>
      <c r="C240" t="s">
        <v>642</v>
      </c>
      <c r="T240" t="s">
        <v>386</v>
      </c>
      <c r="U240">
        <v>71986</v>
      </c>
      <c r="V240" t="s">
        <v>477</v>
      </c>
    </row>
    <row r="241" spans="1:22" x14ac:dyDescent="0.3">
      <c r="A241" t="s">
        <v>93</v>
      </c>
      <c r="C241" t="s">
        <v>660</v>
      </c>
      <c r="T241" t="s">
        <v>96</v>
      </c>
      <c r="U241">
        <v>10847910</v>
      </c>
      <c r="V241" t="s">
        <v>478</v>
      </c>
    </row>
    <row r="242" spans="1:22" x14ac:dyDescent="0.3">
      <c r="A242" t="s">
        <v>105</v>
      </c>
      <c r="C242" t="s">
        <v>659</v>
      </c>
      <c r="T242" t="s">
        <v>324</v>
      </c>
      <c r="U242">
        <v>89561403</v>
      </c>
      <c r="V242" t="s">
        <v>479</v>
      </c>
    </row>
    <row r="243" spans="1:22" x14ac:dyDescent="0.3">
      <c r="A243" t="s">
        <v>117</v>
      </c>
      <c r="C243" t="s">
        <v>635</v>
      </c>
      <c r="T243" t="s">
        <v>97</v>
      </c>
      <c r="U243">
        <v>17643054</v>
      </c>
      <c r="V243" t="s">
        <v>480</v>
      </c>
    </row>
    <row r="244" spans="1:22" x14ac:dyDescent="0.3">
      <c r="A244" t="s">
        <v>280</v>
      </c>
      <c r="C244" t="s">
        <v>636</v>
      </c>
      <c r="T244" t="s">
        <v>60</v>
      </c>
      <c r="U244">
        <v>102334404</v>
      </c>
      <c r="V244" t="s">
        <v>481</v>
      </c>
    </row>
    <row r="245" spans="1:22" x14ac:dyDescent="0.3">
      <c r="A245" t="s">
        <v>411</v>
      </c>
      <c r="C245" t="s">
        <v>420</v>
      </c>
      <c r="T245" t="s">
        <v>351</v>
      </c>
      <c r="U245">
        <v>6486205</v>
      </c>
      <c r="V245" t="s">
        <v>482</v>
      </c>
    </row>
    <row r="246" spans="1:22" x14ac:dyDescent="0.3">
      <c r="T246" t="s">
        <v>312</v>
      </c>
      <c r="U246">
        <v>1402985</v>
      </c>
      <c r="V246" t="s">
        <v>483</v>
      </c>
    </row>
    <row r="247" spans="1:22" x14ac:dyDescent="0.3">
      <c r="T247" t="s">
        <v>355</v>
      </c>
      <c r="U247">
        <v>3546421</v>
      </c>
      <c r="V247" t="s">
        <v>484</v>
      </c>
    </row>
    <row r="248" spans="1:22" x14ac:dyDescent="0.3">
      <c r="T248" t="s">
        <v>80</v>
      </c>
      <c r="U248">
        <v>1326535</v>
      </c>
      <c r="V248" t="s">
        <v>485</v>
      </c>
    </row>
    <row r="249" spans="1:22" x14ac:dyDescent="0.3">
      <c r="T249" t="s">
        <v>300</v>
      </c>
      <c r="U249">
        <v>1160164</v>
      </c>
      <c r="V249" t="s">
        <v>486</v>
      </c>
    </row>
    <row r="250" spans="1:22" x14ac:dyDescent="0.3">
      <c r="T250" t="s">
        <v>287</v>
      </c>
      <c r="U250">
        <v>114963588</v>
      </c>
      <c r="V250" t="s">
        <v>487</v>
      </c>
    </row>
    <row r="251" spans="1:22" x14ac:dyDescent="0.3">
      <c r="T251" t="s">
        <v>392</v>
      </c>
      <c r="U251">
        <v>48863</v>
      </c>
      <c r="V251" t="s">
        <v>488</v>
      </c>
    </row>
    <row r="252" spans="1:22" x14ac:dyDescent="0.3">
      <c r="T252" t="s">
        <v>407</v>
      </c>
      <c r="U252">
        <v>3480</v>
      </c>
      <c r="V252" t="s">
        <v>489</v>
      </c>
    </row>
    <row r="253" spans="1:22" x14ac:dyDescent="0.3">
      <c r="T253" t="s">
        <v>363</v>
      </c>
      <c r="U253">
        <v>896445</v>
      </c>
      <c r="V253" t="s">
        <v>490</v>
      </c>
    </row>
    <row r="254" spans="1:22" x14ac:dyDescent="0.3">
      <c r="T254" t="s">
        <v>49</v>
      </c>
      <c r="U254">
        <v>5540720</v>
      </c>
      <c r="V254" t="s">
        <v>491</v>
      </c>
    </row>
    <row r="255" spans="1:22" x14ac:dyDescent="0.3">
      <c r="T255" t="s">
        <v>36</v>
      </c>
      <c r="U255">
        <v>65273511</v>
      </c>
      <c r="V255" t="s">
        <v>492</v>
      </c>
    </row>
    <row r="256" spans="1:22" x14ac:dyDescent="0.3">
      <c r="T256" t="s">
        <v>129</v>
      </c>
      <c r="U256">
        <v>298682</v>
      </c>
      <c r="V256" t="s">
        <v>493</v>
      </c>
    </row>
    <row r="257" spans="20:22" x14ac:dyDescent="0.3">
      <c r="T257" t="s">
        <v>282</v>
      </c>
      <c r="U257">
        <v>280908</v>
      </c>
      <c r="V257" t="s">
        <v>494</v>
      </c>
    </row>
    <row r="258" spans="20:22" x14ac:dyDescent="0.3">
      <c r="T258" t="s">
        <v>301</v>
      </c>
      <c r="U258">
        <v>2225734</v>
      </c>
      <c r="V258" t="s">
        <v>495</v>
      </c>
    </row>
    <row r="259" spans="20:22" x14ac:dyDescent="0.3">
      <c r="T259" t="s">
        <v>356</v>
      </c>
      <c r="U259">
        <v>2416668</v>
      </c>
      <c r="V259" t="s">
        <v>496</v>
      </c>
    </row>
    <row r="260" spans="20:22" x14ac:dyDescent="0.3">
      <c r="T260" t="s">
        <v>73</v>
      </c>
      <c r="U260">
        <v>3989167</v>
      </c>
      <c r="V260" t="s">
        <v>497</v>
      </c>
    </row>
    <row r="261" spans="20:22" x14ac:dyDescent="0.3">
      <c r="T261" t="s">
        <v>46</v>
      </c>
      <c r="U261">
        <v>83783942</v>
      </c>
      <c r="V261" t="s">
        <v>498</v>
      </c>
    </row>
    <row r="262" spans="20:22" x14ac:dyDescent="0.3">
      <c r="T262" t="s">
        <v>294</v>
      </c>
      <c r="U262">
        <v>31072940</v>
      </c>
      <c r="V262" t="s">
        <v>499</v>
      </c>
    </row>
    <row r="263" spans="20:22" x14ac:dyDescent="0.3">
      <c r="T263" t="s">
        <v>111</v>
      </c>
      <c r="U263">
        <v>33691</v>
      </c>
      <c r="V263" t="s">
        <v>500</v>
      </c>
    </row>
    <row r="264" spans="20:22" x14ac:dyDescent="0.3">
      <c r="T264" t="s">
        <v>74</v>
      </c>
      <c r="U264">
        <v>10423054</v>
      </c>
      <c r="V264" t="s">
        <v>501</v>
      </c>
    </row>
    <row r="265" spans="20:22" x14ac:dyDescent="0.3">
      <c r="T265" t="s">
        <v>318</v>
      </c>
      <c r="U265">
        <v>56770</v>
      </c>
      <c r="V265" t="s">
        <v>502</v>
      </c>
    </row>
    <row r="266" spans="20:22" x14ac:dyDescent="0.3">
      <c r="T266" t="s">
        <v>381</v>
      </c>
      <c r="U266">
        <v>112523</v>
      </c>
      <c r="V266" t="s">
        <v>503</v>
      </c>
    </row>
    <row r="267" spans="20:22" x14ac:dyDescent="0.3">
      <c r="T267" t="s">
        <v>284</v>
      </c>
      <c r="U267">
        <v>400124</v>
      </c>
      <c r="V267" t="s">
        <v>504</v>
      </c>
    </row>
    <row r="268" spans="20:22" x14ac:dyDescent="0.3">
      <c r="T268" t="s">
        <v>308</v>
      </c>
      <c r="U268">
        <v>168775</v>
      </c>
      <c r="V268" t="s">
        <v>505</v>
      </c>
    </row>
    <row r="269" spans="20:22" x14ac:dyDescent="0.3">
      <c r="T269" t="s">
        <v>302</v>
      </c>
      <c r="U269">
        <v>17915568</v>
      </c>
      <c r="V269" t="s">
        <v>506</v>
      </c>
    </row>
    <row r="270" spans="20:22" x14ac:dyDescent="0.3">
      <c r="T270" t="s">
        <v>289</v>
      </c>
      <c r="U270">
        <v>13132795</v>
      </c>
      <c r="V270" t="s">
        <v>507</v>
      </c>
    </row>
    <row r="271" spans="20:22" x14ac:dyDescent="0.3">
      <c r="T271" t="s">
        <v>359</v>
      </c>
      <c r="U271">
        <v>1968001</v>
      </c>
      <c r="V271" t="s">
        <v>508</v>
      </c>
    </row>
    <row r="272" spans="20:22" x14ac:dyDescent="0.3">
      <c r="T272" t="s">
        <v>276</v>
      </c>
      <c r="U272">
        <v>786552</v>
      </c>
      <c r="V272" t="s">
        <v>509</v>
      </c>
    </row>
    <row r="273" spans="20:22" x14ac:dyDescent="0.3">
      <c r="T273" t="s">
        <v>342</v>
      </c>
      <c r="U273">
        <v>11402528</v>
      </c>
      <c r="V273" t="s">
        <v>510</v>
      </c>
    </row>
    <row r="274" spans="20:22" x14ac:dyDescent="0.3">
      <c r="T274" t="s">
        <v>145</v>
      </c>
      <c r="U274">
        <v>801</v>
      </c>
      <c r="V274" t="s">
        <v>511</v>
      </c>
    </row>
    <row r="275" spans="20:22" x14ac:dyDescent="0.3">
      <c r="T275" t="s">
        <v>212</v>
      </c>
      <c r="U275">
        <v>9904607</v>
      </c>
      <c r="V275" t="s">
        <v>512</v>
      </c>
    </row>
    <row r="276" spans="20:22" x14ac:dyDescent="0.3">
      <c r="T276" t="s">
        <v>32</v>
      </c>
      <c r="U276">
        <v>7496981</v>
      </c>
      <c r="V276" t="s">
        <v>513</v>
      </c>
    </row>
    <row r="277" spans="20:22" x14ac:dyDescent="0.3">
      <c r="T277" t="s">
        <v>112</v>
      </c>
      <c r="U277">
        <v>9660351</v>
      </c>
      <c r="V277" t="s">
        <v>514</v>
      </c>
    </row>
    <row r="278" spans="20:22" x14ac:dyDescent="0.3">
      <c r="T278" t="s">
        <v>84</v>
      </c>
      <c r="U278">
        <v>341243</v>
      </c>
      <c r="V278" t="s">
        <v>515</v>
      </c>
    </row>
    <row r="279" spans="20:22" x14ac:dyDescent="0.3">
      <c r="T279" t="s">
        <v>52</v>
      </c>
      <c r="U279">
        <v>1380004385</v>
      </c>
      <c r="V279" t="s">
        <v>516</v>
      </c>
    </row>
    <row r="280" spans="20:22" x14ac:dyDescent="0.3">
      <c r="T280" t="s">
        <v>99</v>
      </c>
      <c r="U280">
        <v>273523615</v>
      </c>
      <c r="V280" t="s">
        <v>517</v>
      </c>
    </row>
    <row r="281" spans="20:22" x14ac:dyDescent="0.3">
      <c r="T281" t="s">
        <v>203</v>
      </c>
      <c r="U281">
        <v>83992949</v>
      </c>
      <c r="V281" t="s">
        <v>518</v>
      </c>
    </row>
    <row r="282" spans="20:22" x14ac:dyDescent="0.3">
      <c r="T282" t="s">
        <v>65</v>
      </c>
      <c r="U282">
        <v>40222493</v>
      </c>
      <c r="V282" t="s">
        <v>519</v>
      </c>
    </row>
    <row r="283" spans="20:22" x14ac:dyDescent="0.3">
      <c r="T283" t="s">
        <v>89</v>
      </c>
      <c r="U283">
        <v>4937786</v>
      </c>
      <c r="V283" t="s">
        <v>520</v>
      </c>
    </row>
    <row r="284" spans="20:22" x14ac:dyDescent="0.3">
      <c r="T284" t="s">
        <v>385</v>
      </c>
      <c r="U284">
        <v>85033</v>
      </c>
      <c r="V284" t="s">
        <v>521</v>
      </c>
    </row>
    <row r="285" spans="20:22" x14ac:dyDescent="0.3">
      <c r="T285" t="s">
        <v>61</v>
      </c>
      <c r="U285">
        <v>8655535</v>
      </c>
      <c r="V285" t="s">
        <v>522</v>
      </c>
    </row>
    <row r="286" spans="20:22" x14ac:dyDescent="0.3">
      <c r="T286" t="s">
        <v>55</v>
      </c>
      <c r="U286">
        <v>60461826</v>
      </c>
      <c r="V286" t="s">
        <v>419</v>
      </c>
    </row>
    <row r="287" spans="20:22" x14ac:dyDescent="0.3">
      <c r="T287" t="s">
        <v>214</v>
      </c>
      <c r="U287">
        <v>2961167</v>
      </c>
      <c r="V287" t="s">
        <v>523</v>
      </c>
    </row>
    <row r="288" spans="20:22" x14ac:dyDescent="0.3">
      <c r="T288" t="s">
        <v>2</v>
      </c>
      <c r="U288">
        <v>126476461</v>
      </c>
      <c r="V288" t="s">
        <v>422</v>
      </c>
    </row>
    <row r="289" spans="20:22" x14ac:dyDescent="0.3">
      <c r="T289" t="s">
        <v>108</v>
      </c>
      <c r="U289">
        <v>10203134</v>
      </c>
      <c r="V289" t="s">
        <v>524</v>
      </c>
    </row>
    <row r="290" spans="20:22" x14ac:dyDescent="0.3">
      <c r="T290" t="s">
        <v>281</v>
      </c>
      <c r="U290">
        <v>18776707</v>
      </c>
      <c r="V290" t="s">
        <v>525</v>
      </c>
    </row>
    <row r="291" spans="20:22" x14ac:dyDescent="0.3">
      <c r="T291" t="s">
        <v>291</v>
      </c>
      <c r="U291">
        <v>53771296</v>
      </c>
      <c r="V291" t="s">
        <v>526</v>
      </c>
    </row>
    <row r="292" spans="20:22" x14ac:dyDescent="0.3">
      <c r="T292" t="s">
        <v>379</v>
      </c>
      <c r="U292">
        <v>119449</v>
      </c>
      <c r="V292" t="s">
        <v>527</v>
      </c>
    </row>
    <row r="293" spans="20:22" x14ac:dyDescent="0.3">
      <c r="T293" t="s">
        <v>204</v>
      </c>
      <c r="U293">
        <v>51269185</v>
      </c>
      <c r="V293" t="s">
        <v>420</v>
      </c>
    </row>
    <row r="294" spans="20:22" x14ac:dyDescent="0.3">
      <c r="T294" t="s">
        <v>66</v>
      </c>
      <c r="U294">
        <v>4270571</v>
      </c>
      <c r="V294" t="s">
        <v>528</v>
      </c>
    </row>
    <row r="295" spans="20:22" x14ac:dyDescent="0.3">
      <c r="T295" t="s">
        <v>350</v>
      </c>
      <c r="U295">
        <v>6524195</v>
      </c>
      <c r="V295" t="s">
        <v>529</v>
      </c>
    </row>
    <row r="296" spans="20:22" x14ac:dyDescent="0.3">
      <c r="T296" t="s">
        <v>347</v>
      </c>
      <c r="U296">
        <v>7275560</v>
      </c>
      <c r="V296" t="s">
        <v>530</v>
      </c>
    </row>
    <row r="297" spans="20:22" x14ac:dyDescent="0.3">
      <c r="T297" t="s">
        <v>100</v>
      </c>
      <c r="U297">
        <v>1886198</v>
      </c>
      <c r="V297" t="s">
        <v>531</v>
      </c>
    </row>
    <row r="298" spans="20:22" x14ac:dyDescent="0.3">
      <c r="T298" t="s">
        <v>62</v>
      </c>
      <c r="U298">
        <v>6825445</v>
      </c>
      <c r="V298" t="s">
        <v>532</v>
      </c>
    </row>
    <row r="299" spans="20:22" x14ac:dyDescent="0.3">
      <c r="T299" t="s">
        <v>358</v>
      </c>
      <c r="U299">
        <v>2142249</v>
      </c>
      <c r="V299" t="s">
        <v>533</v>
      </c>
    </row>
    <row r="300" spans="20:22" x14ac:dyDescent="0.3">
      <c r="T300" t="s">
        <v>319</v>
      </c>
      <c r="U300">
        <v>5057681</v>
      </c>
      <c r="V300" t="s">
        <v>534</v>
      </c>
    </row>
    <row r="301" spans="20:22" x14ac:dyDescent="0.3">
      <c r="T301" t="s">
        <v>348</v>
      </c>
      <c r="U301">
        <v>6871292</v>
      </c>
      <c r="V301" t="s">
        <v>535</v>
      </c>
    </row>
    <row r="302" spans="20:22" x14ac:dyDescent="0.3">
      <c r="T302" t="s">
        <v>113</v>
      </c>
      <c r="U302">
        <v>38128</v>
      </c>
      <c r="V302" t="s">
        <v>536</v>
      </c>
    </row>
    <row r="303" spans="20:22" x14ac:dyDescent="0.3">
      <c r="T303" t="s">
        <v>85</v>
      </c>
      <c r="U303">
        <v>2722289</v>
      </c>
      <c r="V303" t="s">
        <v>537</v>
      </c>
    </row>
    <row r="304" spans="20:22" x14ac:dyDescent="0.3">
      <c r="T304" t="s">
        <v>90</v>
      </c>
      <c r="U304">
        <v>625978</v>
      </c>
      <c r="V304" t="s">
        <v>538</v>
      </c>
    </row>
    <row r="305" spans="20:22" x14ac:dyDescent="0.3">
      <c r="T305" t="s">
        <v>367</v>
      </c>
      <c r="U305">
        <v>649335</v>
      </c>
      <c r="V305" t="s">
        <v>539</v>
      </c>
    </row>
    <row r="306" spans="20:22" x14ac:dyDescent="0.3">
      <c r="T306" t="s">
        <v>330</v>
      </c>
      <c r="U306">
        <v>27691018</v>
      </c>
      <c r="V306" t="s">
        <v>540</v>
      </c>
    </row>
    <row r="307" spans="20:22" x14ac:dyDescent="0.3">
      <c r="T307" t="s">
        <v>336</v>
      </c>
      <c r="U307">
        <v>19129952</v>
      </c>
      <c r="V307" t="s">
        <v>541</v>
      </c>
    </row>
    <row r="308" spans="20:22" x14ac:dyDescent="0.3">
      <c r="T308" t="s">
        <v>38</v>
      </c>
      <c r="U308">
        <v>32365999</v>
      </c>
      <c r="V308" t="s">
        <v>542</v>
      </c>
    </row>
    <row r="309" spans="20:22" x14ac:dyDescent="0.3">
      <c r="T309" t="s">
        <v>134</v>
      </c>
      <c r="U309">
        <v>540544</v>
      </c>
      <c r="V309" t="s">
        <v>543</v>
      </c>
    </row>
    <row r="310" spans="20:22" x14ac:dyDescent="0.3">
      <c r="T310" t="s">
        <v>335</v>
      </c>
      <c r="U310">
        <v>20250833</v>
      </c>
      <c r="V310" t="s">
        <v>544</v>
      </c>
    </row>
    <row r="311" spans="20:22" x14ac:dyDescent="0.3">
      <c r="T311" t="s">
        <v>130</v>
      </c>
      <c r="U311">
        <v>441543</v>
      </c>
      <c r="V311" t="s">
        <v>545</v>
      </c>
    </row>
    <row r="312" spans="20:22" x14ac:dyDescent="0.3">
      <c r="T312" t="s">
        <v>388</v>
      </c>
      <c r="U312">
        <v>59190</v>
      </c>
      <c r="V312" t="s">
        <v>546</v>
      </c>
    </row>
    <row r="313" spans="20:22" x14ac:dyDescent="0.3">
      <c r="T313" t="s">
        <v>131</v>
      </c>
      <c r="U313">
        <v>375265</v>
      </c>
      <c r="V313" t="s">
        <v>547</v>
      </c>
    </row>
    <row r="314" spans="20:22" x14ac:dyDescent="0.3">
      <c r="T314" t="s">
        <v>303</v>
      </c>
      <c r="U314">
        <v>4649658</v>
      </c>
      <c r="V314" t="s">
        <v>548</v>
      </c>
    </row>
    <row r="315" spans="20:22" x14ac:dyDescent="0.3">
      <c r="T315" t="s">
        <v>361</v>
      </c>
      <c r="U315">
        <v>1271768</v>
      </c>
      <c r="V315" t="s">
        <v>549</v>
      </c>
    </row>
    <row r="316" spans="20:22" x14ac:dyDescent="0.3">
      <c r="T316" t="s">
        <v>313</v>
      </c>
      <c r="U316">
        <v>272815</v>
      </c>
      <c r="V316" t="s">
        <v>550</v>
      </c>
    </row>
    <row r="317" spans="20:22" x14ac:dyDescent="0.3">
      <c r="T317" t="s">
        <v>86</v>
      </c>
      <c r="U317">
        <v>128932753</v>
      </c>
      <c r="V317" t="s">
        <v>551</v>
      </c>
    </row>
    <row r="318" spans="20:22" x14ac:dyDescent="0.3">
      <c r="T318" t="s">
        <v>380</v>
      </c>
      <c r="U318">
        <v>115023</v>
      </c>
      <c r="V318" t="s">
        <v>552</v>
      </c>
    </row>
    <row r="319" spans="20:22" x14ac:dyDescent="0.3">
      <c r="T319" t="s">
        <v>209</v>
      </c>
      <c r="U319">
        <v>4033963</v>
      </c>
      <c r="V319" t="s">
        <v>553</v>
      </c>
    </row>
    <row r="320" spans="20:22" x14ac:dyDescent="0.3">
      <c r="T320" t="s">
        <v>91</v>
      </c>
      <c r="U320">
        <v>39242</v>
      </c>
      <c r="V320" t="s">
        <v>554</v>
      </c>
    </row>
    <row r="321" spans="20:22" x14ac:dyDescent="0.3">
      <c r="T321" t="s">
        <v>148</v>
      </c>
      <c r="U321">
        <v>3278290</v>
      </c>
      <c r="V321" t="s">
        <v>555</v>
      </c>
    </row>
    <row r="322" spans="20:22" x14ac:dyDescent="0.3">
      <c r="T322" t="s">
        <v>368</v>
      </c>
      <c r="U322">
        <v>628066</v>
      </c>
      <c r="V322" t="s">
        <v>556</v>
      </c>
    </row>
    <row r="323" spans="20:22" x14ac:dyDescent="0.3">
      <c r="T323" t="s">
        <v>406</v>
      </c>
      <c r="U323">
        <v>4992</v>
      </c>
      <c r="V323" t="s">
        <v>557</v>
      </c>
    </row>
    <row r="324" spans="20:22" x14ac:dyDescent="0.3">
      <c r="T324" t="s">
        <v>101</v>
      </c>
      <c r="U324">
        <v>36910560</v>
      </c>
      <c r="V324" t="s">
        <v>558</v>
      </c>
    </row>
    <row r="325" spans="20:22" x14ac:dyDescent="0.3">
      <c r="T325" t="s">
        <v>328</v>
      </c>
      <c r="U325">
        <v>31255435</v>
      </c>
      <c r="V325" t="s">
        <v>559</v>
      </c>
    </row>
    <row r="326" spans="20:22" x14ac:dyDescent="0.3">
      <c r="T326" t="s">
        <v>325</v>
      </c>
      <c r="U326">
        <v>54409800</v>
      </c>
      <c r="V326" t="s">
        <v>560</v>
      </c>
    </row>
    <row r="327" spans="20:22" x14ac:dyDescent="0.3">
      <c r="T327" t="s">
        <v>296</v>
      </c>
      <c r="U327">
        <v>2540905</v>
      </c>
      <c r="V327" t="s">
        <v>561</v>
      </c>
    </row>
    <row r="328" spans="20:22" x14ac:dyDescent="0.3">
      <c r="T328" t="s">
        <v>403</v>
      </c>
      <c r="U328">
        <v>10824</v>
      </c>
      <c r="V328" t="s">
        <v>562</v>
      </c>
    </row>
    <row r="329" spans="20:22" x14ac:dyDescent="0.3">
      <c r="T329" t="s">
        <v>39</v>
      </c>
      <c r="U329">
        <v>29136808</v>
      </c>
      <c r="V329" t="s">
        <v>563</v>
      </c>
    </row>
    <row r="330" spans="20:22" x14ac:dyDescent="0.3">
      <c r="T330" t="s">
        <v>81</v>
      </c>
      <c r="U330">
        <v>17134872</v>
      </c>
      <c r="V330" t="s">
        <v>564</v>
      </c>
    </row>
    <row r="331" spans="20:22" x14ac:dyDescent="0.3">
      <c r="T331" t="s">
        <v>375</v>
      </c>
      <c r="U331">
        <v>285498</v>
      </c>
      <c r="V331" t="s">
        <v>565</v>
      </c>
    </row>
    <row r="332" spans="20:22" x14ac:dyDescent="0.3">
      <c r="T332" t="s">
        <v>87</v>
      </c>
      <c r="U332">
        <v>4822233</v>
      </c>
      <c r="V332" t="s">
        <v>566</v>
      </c>
    </row>
    <row r="333" spans="20:22" x14ac:dyDescent="0.3">
      <c r="T333" t="s">
        <v>349</v>
      </c>
      <c r="U333">
        <v>6624554</v>
      </c>
      <c r="V333" t="s">
        <v>567</v>
      </c>
    </row>
    <row r="334" spans="20:22" x14ac:dyDescent="0.3">
      <c r="T334" t="s">
        <v>333</v>
      </c>
      <c r="U334">
        <v>24206644</v>
      </c>
      <c r="V334" t="s">
        <v>568</v>
      </c>
    </row>
    <row r="335" spans="20:22" x14ac:dyDescent="0.3">
      <c r="T335" t="s">
        <v>88</v>
      </c>
      <c r="U335">
        <v>206139589</v>
      </c>
      <c r="V335" t="s">
        <v>569</v>
      </c>
    </row>
    <row r="336" spans="20:22" x14ac:dyDescent="0.3">
      <c r="T336" t="s">
        <v>408</v>
      </c>
      <c r="U336">
        <v>1626</v>
      </c>
      <c r="V336" t="s">
        <v>570</v>
      </c>
    </row>
    <row r="337" spans="20:22" x14ac:dyDescent="0.3">
      <c r="T337" t="s">
        <v>332</v>
      </c>
      <c r="U337">
        <v>25778816</v>
      </c>
      <c r="V337" t="s">
        <v>571</v>
      </c>
    </row>
    <row r="338" spans="20:22" x14ac:dyDescent="0.3">
      <c r="T338" t="s">
        <v>75</v>
      </c>
      <c r="U338">
        <v>2083374</v>
      </c>
      <c r="V338" t="s">
        <v>572</v>
      </c>
    </row>
    <row r="339" spans="20:22" x14ac:dyDescent="0.3">
      <c r="T339" t="s">
        <v>389</v>
      </c>
      <c r="U339">
        <v>57559</v>
      </c>
      <c r="V339" t="s">
        <v>573</v>
      </c>
    </row>
    <row r="340" spans="20:22" x14ac:dyDescent="0.3">
      <c r="T340" t="s">
        <v>76</v>
      </c>
      <c r="U340">
        <v>5421241</v>
      </c>
      <c r="V340" t="s">
        <v>574</v>
      </c>
    </row>
    <row r="341" spans="20:22" x14ac:dyDescent="0.3">
      <c r="T341" t="s">
        <v>67</v>
      </c>
      <c r="U341">
        <v>5106626</v>
      </c>
      <c r="V341" t="s">
        <v>575</v>
      </c>
    </row>
    <row r="342" spans="20:22" x14ac:dyDescent="0.3">
      <c r="T342" t="s">
        <v>77</v>
      </c>
      <c r="U342">
        <v>220892340</v>
      </c>
      <c r="V342" t="s">
        <v>576</v>
      </c>
    </row>
    <row r="343" spans="20:22" x14ac:dyDescent="0.3">
      <c r="T343" t="s">
        <v>398</v>
      </c>
      <c r="U343">
        <v>18094</v>
      </c>
      <c r="V343" t="s">
        <v>577</v>
      </c>
    </row>
    <row r="344" spans="20:22" x14ac:dyDescent="0.3">
      <c r="T344" t="s">
        <v>149</v>
      </c>
      <c r="U344">
        <v>4314767</v>
      </c>
      <c r="V344" t="s">
        <v>578</v>
      </c>
    </row>
    <row r="345" spans="20:22" x14ac:dyDescent="0.3">
      <c r="T345" t="s">
        <v>345</v>
      </c>
      <c r="U345">
        <v>8947024</v>
      </c>
      <c r="V345" t="s">
        <v>579</v>
      </c>
    </row>
    <row r="346" spans="20:22" x14ac:dyDescent="0.3">
      <c r="T346" t="s">
        <v>135</v>
      </c>
      <c r="U346">
        <v>7132538</v>
      </c>
      <c r="V346" t="s">
        <v>580</v>
      </c>
    </row>
    <row r="347" spans="20:22" x14ac:dyDescent="0.3">
      <c r="T347" t="s">
        <v>125</v>
      </c>
      <c r="U347">
        <v>32971854</v>
      </c>
      <c r="V347" t="s">
        <v>581</v>
      </c>
    </row>
    <row r="348" spans="20:22" x14ac:dyDescent="0.3">
      <c r="T348" t="s">
        <v>53</v>
      </c>
      <c r="U348">
        <v>109581078</v>
      </c>
      <c r="V348" t="s">
        <v>582</v>
      </c>
    </row>
    <row r="349" spans="20:22" x14ac:dyDescent="0.3">
      <c r="T349" t="s">
        <v>114</v>
      </c>
      <c r="U349">
        <v>37846611</v>
      </c>
      <c r="V349" t="s">
        <v>583</v>
      </c>
    </row>
    <row r="350" spans="20:22" x14ac:dyDescent="0.3">
      <c r="T350" t="s">
        <v>102</v>
      </c>
      <c r="U350">
        <v>10196709</v>
      </c>
      <c r="V350" t="s">
        <v>584</v>
      </c>
    </row>
    <row r="351" spans="20:22" x14ac:dyDescent="0.3">
      <c r="T351" t="s">
        <v>295</v>
      </c>
      <c r="U351">
        <v>2860853</v>
      </c>
      <c r="V351" t="s">
        <v>585</v>
      </c>
    </row>
    <row r="352" spans="20:22" x14ac:dyDescent="0.3">
      <c r="T352" t="s">
        <v>92</v>
      </c>
      <c r="U352">
        <v>2881053</v>
      </c>
      <c r="V352" t="s">
        <v>586</v>
      </c>
    </row>
    <row r="353" spans="20:22" x14ac:dyDescent="0.3">
      <c r="T353" t="s">
        <v>364</v>
      </c>
      <c r="U353">
        <v>895312</v>
      </c>
      <c r="V353" t="s">
        <v>587</v>
      </c>
    </row>
    <row r="354" spans="20:22" x14ac:dyDescent="0.3">
      <c r="T354" t="s">
        <v>78</v>
      </c>
      <c r="U354">
        <v>19237691</v>
      </c>
      <c r="V354" t="s">
        <v>588</v>
      </c>
    </row>
    <row r="355" spans="20:22" x14ac:dyDescent="0.3">
      <c r="T355" t="s">
        <v>208</v>
      </c>
      <c r="U355">
        <v>145934462</v>
      </c>
      <c r="V355" t="s">
        <v>589</v>
      </c>
    </row>
    <row r="356" spans="20:22" x14ac:dyDescent="0.3">
      <c r="T356" t="s">
        <v>304</v>
      </c>
      <c r="U356">
        <v>12952218</v>
      </c>
      <c r="V356" t="s">
        <v>590</v>
      </c>
    </row>
    <row r="357" spans="20:22" x14ac:dyDescent="0.3">
      <c r="T357" t="s">
        <v>115</v>
      </c>
      <c r="U357">
        <v>9877</v>
      </c>
      <c r="V357" t="s">
        <v>591</v>
      </c>
    </row>
    <row r="358" spans="20:22" x14ac:dyDescent="0.3">
      <c r="T358" t="s">
        <v>404</v>
      </c>
      <c r="U358">
        <v>6077</v>
      </c>
      <c r="V358" t="s">
        <v>592</v>
      </c>
    </row>
    <row r="359" spans="20:22" x14ac:dyDescent="0.3">
      <c r="T359" t="s">
        <v>391</v>
      </c>
      <c r="U359">
        <v>53199</v>
      </c>
      <c r="V359" t="s">
        <v>593</v>
      </c>
    </row>
    <row r="360" spans="20:22" x14ac:dyDescent="0.3">
      <c r="T360" t="s">
        <v>305</v>
      </c>
      <c r="U360">
        <v>183627</v>
      </c>
      <c r="V360" t="s">
        <v>594</v>
      </c>
    </row>
    <row r="361" spans="20:22" x14ac:dyDescent="0.3">
      <c r="T361" t="s">
        <v>395</v>
      </c>
      <c r="U361">
        <v>38666</v>
      </c>
      <c r="V361" t="s">
        <v>595</v>
      </c>
    </row>
    <row r="362" spans="20:22" x14ac:dyDescent="0.3">
      <c r="T362" t="s">
        <v>405</v>
      </c>
      <c r="U362">
        <v>5794</v>
      </c>
      <c r="V362" t="s">
        <v>596</v>
      </c>
    </row>
    <row r="363" spans="20:22" x14ac:dyDescent="0.3">
      <c r="T363" t="s">
        <v>377</v>
      </c>
      <c r="U363">
        <v>198414</v>
      </c>
      <c r="V363" t="s">
        <v>597</v>
      </c>
    </row>
    <row r="364" spans="20:22" x14ac:dyDescent="0.3">
      <c r="T364" t="s">
        <v>82</v>
      </c>
      <c r="U364">
        <v>33931</v>
      </c>
      <c r="V364" t="s">
        <v>598</v>
      </c>
    </row>
    <row r="365" spans="20:22" x14ac:dyDescent="0.3">
      <c r="T365" t="s">
        <v>376</v>
      </c>
      <c r="U365">
        <v>219159</v>
      </c>
      <c r="V365" t="s">
        <v>599</v>
      </c>
    </row>
    <row r="366" spans="20:22" x14ac:dyDescent="0.3">
      <c r="T366" t="s">
        <v>103</v>
      </c>
      <c r="U366">
        <v>34813871</v>
      </c>
      <c r="V366" t="s">
        <v>600</v>
      </c>
    </row>
    <row r="367" spans="20:22" x14ac:dyDescent="0.3">
      <c r="T367" t="s">
        <v>104</v>
      </c>
      <c r="U367">
        <v>16743927</v>
      </c>
      <c r="V367" t="s">
        <v>601</v>
      </c>
    </row>
    <row r="368" spans="20:22" x14ac:dyDescent="0.3">
      <c r="T368" t="s">
        <v>126</v>
      </c>
      <c r="U368">
        <v>8737371</v>
      </c>
      <c r="V368" t="s">
        <v>602</v>
      </c>
    </row>
    <row r="369" spans="20:22" x14ac:dyDescent="0.3">
      <c r="T369" t="s">
        <v>297</v>
      </c>
      <c r="U369">
        <v>98347</v>
      </c>
      <c r="V369" t="s">
        <v>603</v>
      </c>
    </row>
    <row r="370" spans="20:22" x14ac:dyDescent="0.3">
      <c r="T370" t="s">
        <v>346</v>
      </c>
      <c r="U370">
        <v>7976983</v>
      </c>
      <c r="V370" t="s">
        <v>604</v>
      </c>
    </row>
    <row r="371" spans="20:22" x14ac:dyDescent="0.3">
      <c r="T371" t="s">
        <v>29</v>
      </c>
      <c r="U371">
        <v>5850342</v>
      </c>
      <c r="V371" t="s">
        <v>421</v>
      </c>
    </row>
    <row r="372" spans="20:22" x14ac:dyDescent="0.3">
      <c r="T372" t="s">
        <v>393</v>
      </c>
      <c r="U372">
        <v>42876</v>
      </c>
      <c r="V372" t="s">
        <v>605</v>
      </c>
    </row>
    <row r="373" spans="20:22" x14ac:dyDescent="0.3">
      <c r="T373" t="s">
        <v>127</v>
      </c>
      <c r="U373">
        <v>5459642</v>
      </c>
      <c r="V373" t="s">
        <v>606</v>
      </c>
    </row>
    <row r="374" spans="20:22" x14ac:dyDescent="0.3">
      <c r="T374" t="s">
        <v>119</v>
      </c>
      <c r="U374">
        <v>2078938</v>
      </c>
      <c r="V374" t="s">
        <v>607</v>
      </c>
    </row>
    <row r="375" spans="20:22" x14ac:dyDescent="0.3">
      <c r="T375" t="s">
        <v>366</v>
      </c>
      <c r="U375">
        <v>686884</v>
      </c>
      <c r="V375" t="s">
        <v>608</v>
      </c>
    </row>
    <row r="376" spans="20:22" x14ac:dyDescent="0.3">
      <c r="T376" t="s">
        <v>320</v>
      </c>
      <c r="U376">
        <v>15893222</v>
      </c>
      <c r="V376" t="s">
        <v>609</v>
      </c>
    </row>
    <row r="377" spans="20:22" x14ac:dyDescent="0.3">
      <c r="T377" t="s">
        <v>120</v>
      </c>
      <c r="U377">
        <v>59308690</v>
      </c>
      <c r="V377" t="s">
        <v>610</v>
      </c>
    </row>
    <row r="378" spans="20:22" x14ac:dyDescent="0.3">
      <c r="T378" t="s">
        <v>343</v>
      </c>
      <c r="U378">
        <v>11193725</v>
      </c>
      <c r="V378" t="s">
        <v>611</v>
      </c>
    </row>
    <row r="379" spans="20:22" x14ac:dyDescent="0.3">
      <c r="T379" t="s">
        <v>57</v>
      </c>
      <c r="U379">
        <v>46754778</v>
      </c>
      <c r="V379" t="s">
        <v>612</v>
      </c>
    </row>
    <row r="380" spans="20:22" x14ac:dyDescent="0.3">
      <c r="T380" t="s">
        <v>47</v>
      </c>
      <c r="U380">
        <v>21413249</v>
      </c>
      <c r="V380" t="s">
        <v>613</v>
      </c>
    </row>
    <row r="381" spans="20:22" x14ac:dyDescent="0.3">
      <c r="T381" t="s">
        <v>382</v>
      </c>
      <c r="U381">
        <v>110940</v>
      </c>
      <c r="V381" t="s">
        <v>614</v>
      </c>
    </row>
    <row r="382" spans="20:22" x14ac:dyDescent="0.3">
      <c r="T382" t="s">
        <v>354</v>
      </c>
      <c r="U382">
        <v>5101414</v>
      </c>
      <c r="V382" t="s">
        <v>615</v>
      </c>
    </row>
    <row r="383" spans="20:22" x14ac:dyDescent="0.3">
      <c r="T383" t="s">
        <v>288</v>
      </c>
      <c r="U383">
        <v>43849260</v>
      </c>
      <c r="V383" t="s">
        <v>616</v>
      </c>
    </row>
    <row r="384" spans="20:22" x14ac:dyDescent="0.3">
      <c r="T384" t="s">
        <v>306</v>
      </c>
      <c r="U384">
        <v>586632</v>
      </c>
      <c r="V384" t="s">
        <v>617</v>
      </c>
    </row>
    <row r="385" spans="20:22" x14ac:dyDescent="0.3">
      <c r="T385" t="s">
        <v>56</v>
      </c>
      <c r="U385">
        <v>10099265</v>
      </c>
      <c r="V385" t="s">
        <v>618</v>
      </c>
    </row>
    <row r="386" spans="20:22" x14ac:dyDescent="0.3">
      <c r="T386" t="s">
        <v>71</v>
      </c>
      <c r="U386">
        <v>8654622</v>
      </c>
      <c r="V386" t="s">
        <v>619</v>
      </c>
    </row>
    <row r="387" spans="20:22" x14ac:dyDescent="0.3">
      <c r="T387" t="s">
        <v>338</v>
      </c>
      <c r="U387">
        <v>17500658</v>
      </c>
      <c r="V387" t="s">
        <v>620</v>
      </c>
    </row>
    <row r="388" spans="20:22" x14ac:dyDescent="0.3">
      <c r="T388" t="s">
        <v>334</v>
      </c>
      <c r="U388">
        <v>23816775</v>
      </c>
      <c r="V388" t="s">
        <v>621</v>
      </c>
    </row>
    <row r="389" spans="20:22" x14ac:dyDescent="0.3">
      <c r="T389" t="s">
        <v>344</v>
      </c>
      <c r="U389">
        <v>9537645</v>
      </c>
      <c r="V389" t="s">
        <v>622</v>
      </c>
    </row>
    <row r="390" spans="20:22" x14ac:dyDescent="0.3">
      <c r="T390" t="s">
        <v>321</v>
      </c>
      <c r="U390">
        <v>59734218</v>
      </c>
      <c r="V390" t="s">
        <v>623</v>
      </c>
    </row>
    <row r="391" spans="20:22" x14ac:dyDescent="0.3">
      <c r="T391" t="s">
        <v>3</v>
      </c>
      <c r="U391">
        <v>69799978</v>
      </c>
      <c r="V391" t="s">
        <v>624</v>
      </c>
    </row>
    <row r="392" spans="20:22" x14ac:dyDescent="0.3">
      <c r="T392" t="s">
        <v>360</v>
      </c>
      <c r="U392">
        <v>1318445</v>
      </c>
      <c r="V392" t="s">
        <v>625</v>
      </c>
    </row>
    <row r="393" spans="20:22" x14ac:dyDescent="0.3">
      <c r="T393" t="s">
        <v>128</v>
      </c>
      <c r="U393">
        <v>8278724</v>
      </c>
      <c r="V393" t="s">
        <v>626</v>
      </c>
    </row>
    <row r="394" spans="20:22" x14ac:dyDescent="0.3">
      <c r="T394" t="s">
        <v>409</v>
      </c>
      <c r="U394">
        <v>1357</v>
      </c>
      <c r="V394" t="s">
        <v>627</v>
      </c>
    </row>
    <row r="395" spans="20:22" x14ac:dyDescent="0.3">
      <c r="T395" t="s">
        <v>383</v>
      </c>
      <c r="U395">
        <v>105695</v>
      </c>
      <c r="V395" t="s">
        <v>628</v>
      </c>
    </row>
    <row r="396" spans="20:22" x14ac:dyDescent="0.3">
      <c r="T396" t="s">
        <v>298</v>
      </c>
      <c r="U396">
        <v>1399488</v>
      </c>
      <c r="V396" t="s">
        <v>629</v>
      </c>
    </row>
    <row r="397" spans="20:22" x14ac:dyDescent="0.3">
      <c r="T397" t="s">
        <v>116</v>
      </c>
      <c r="U397">
        <v>11818619</v>
      </c>
      <c r="V397" t="s">
        <v>630</v>
      </c>
    </row>
    <row r="398" spans="20:22" x14ac:dyDescent="0.3">
      <c r="T398" t="s">
        <v>216</v>
      </c>
      <c r="U398">
        <v>84339067</v>
      </c>
      <c r="V398" t="s">
        <v>631</v>
      </c>
    </row>
    <row r="399" spans="20:22" x14ac:dyDescent="0.3">
      <c r="T399" t="s">
        <v>352</v>
      </c>
      <c r="U399">
        <v>6031200</v>
      </c>
      <c r="V399" t="s">
        <v>632</v>
      </c>
    </row>
    <row r="400" spans="20:22" x14ac:dyDescent="0.3">
      <c r="T400" t="s">
        <v>394</v>
      </c>
      <c r="U400">
        <v>38717</v>
      </c>
      <c r="V400" t="s">
        <v>633</v>
      </c>
    </row>
    <row r="401" spans="20:22" x14ac:dyDescent="0.3">
      <c r="T401" t="s">
        <v>401</v>
      </c>
      <c r="U401">
        <v>11792</v>
      </c>
      <c r="V401" t="s">
        <v>634</v>
      </c>
    </row>
    <row r="402" spans="20:22" x14ac:dyDescent="0.3">
      <c r="T402" t="s">
        <v>384</v>
      </c>
      <c r="U402">
        <v>104425</v>
      </c>
      <c r="V402" t="s">
        <v>635</v>
      </c>
    </row>
    <row r="403" spans="20:22" x14ac:dyDescent="0.3">
      <c r="T403" t="s">
        <v>326</v>
      </c>
      <c r="U403">
        <v>45741007</v>
      </c>
      <c r="V403" t="s">
        <v>636</v>
      </c>
    </row>
    <row r="404" spans="20:22" x14ac:dyDescent="0.3">
      <c r="T404" t="s">
        <v>109</v>
      </c>
      <c r="U404">
        <v>43733762</v>
      </c>
      <c r="V404" t="s">
        <v>637</v>
      </c>
    </row>
    <row r="405" spans="20:22" x14ac:dyDescent="0.3">
      <c r="T405" t="s">
        <v>50</v>
      </c>
      <c r="U405">
        <v>9890402</v>
      </c>
      <c r="V405" t="s">
        <v>638</v>
      </c>
    </row>
    <row r="406" spans="20:22" x14ac:dyDescent="0.3">
      <c r="T406" t="s">
        <v>205</v>
      </c>
      <c r="U406">
        <v>67886011</v>
      </c>
      <c r="V406" t="s">
        <v>417</v>
      </c>
    </row>
    <row r="407" spans="20:22" x14ac:dyDescent="0.3">
      <c r="T407" t="s">
        <v>293</v>
      </c>
      <c r="U407">
        <v>3473730</v>
      </c>
      <c r="V407" t="s">
        <v>639</v>
      </c>
    </row>
    <row r="408" spans="20:22" x14ac:dyDescent="0.3">
      <c r="T408" t="s">
        <v>18</v>
      </c>
      <c r="U408">
        <v>331002651</v>
      </c>
      <c r="V408" t="s">
        <v>416</v>
      </c>
    </row>
    <row r="409" spans="20:22" x14ac:dyDescent="0.3">
      <c r="T409" t="s">
        <v>314</v>
      </c>
      <c r="U409">
        <v>33469203</v>
      </c>
      <c r="V409" t="s">
        <v>640</v>
      </c>
    </row>
    <row r="410" spans="20:22" x14ac:dyDescent="0.3">
      <c r="T410" t="s">
        <v>373</v>
      </c>
      <c r="U410">
        <v>307145</v>
      </c>
      <c r="V410" t="s">
        <v>641</v>
      </c>
    </row>
    <row r="411" spans="20:22" x14ac:dyDescent="0.3">
      <c r="T411" t="s">
        <v>299</v>
      </c>
      <c r="U411">
        <v>28435940</v>
      </c>
      <c r="V411" t="s">
        <v>642</v>
      </c>
    </row>
    <row r="412" spans="20:22" x14ac:dyDescent="0.3">
      <c r="T412" t="s">
        <v>207</v>
      </c>
      <c r="U412">
        <v>97338579</v>
      </c>
      <c r="V412" t="s">
        <v>643</v>
      </c>
    </row>
    <row r="413" spans="20:22" x14ac:dyDescent="0.3">
      <c r="T413" t="s">
        <v>402</v>
      </c>
      <c r="U413">
        <v>11239</v>
      </c>
      <c r="V413" t="s">
        <v>644</v>
      </c>
    </row>
    <row r="414" spans="20:22" x14ac:dyDescent="0.3">
      <c r="T414" t="s">
        <v>369</v>
      </c>
      <c r="U414">
        <v>597339</v>
      </c>
      <c r="V414" t="s">
        <v>645</v>
      </c>
    </row>
    <row r="415" spans="20:22" x14ac:dyDescent="0.3">
      <c r="T415" t="s">
        <v>329</v>
      </c>
      <c r="U415">
        <v>29825964</v>
      </c>
      <c r="V415" t="s">
        <v>646</v>
      </c>
    </row>
    <row r="416" spans="20:22" x14ac:dyDescent="0.3">
      <c r="T416" t="s">
        <v>337</v>
      </c>
      <c r="U416">
        <v>18383955</v>
      </c>
      <c r="V416" t="s">
        <v>647</v>
      </c>
    </row>
    <row r="417" spans="20:22" x14ac:dyDescent="0.3">
      <c r="T417" t="s">
        <v>340</v>
      </c>
      <c r="U417">
        <v>14862924</v>
      </c>
      <c r="V417" t="s">
        <v>648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5BAA37-0BD4-412F-A9D1-71B41A0092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Charts</vt:lpstr>
      </vt:variant>
      <vt:variant>
        <vt:i4>11</vt:i4>
      </vt:variant>
    </vt:vector>
  </HeadingPairs>
  <TitlesOfParts>
    <vt:vector size="25" baseType="lpstr">
      <vt:lpstr>Australia Per State Deaths</vt:lpstr>
      <vt:lpstr>Australia Per State</vt:lpstr>
      <vt:lpstr>Deaths Days + Pop</vt:lpstr>
      <vt:lpstr>Deaths Days Since</vt:lpstr>
      <vt:lpstr>Deaths Country Totals</vt:lpstr>
      <vt:lpstr>Deaths Country Grouped</vt:lpstr>
      <vt:lpstr>Deaths All</vt:lpstr>
      <vt:lpstr>Cases Days + Pop</vt:lpstr>
      <vt:lpstr>Cases Days Since</vt:lpstr>
      <vt:lpstr>Per Country Totals</vt:lpstr>
      <vt:lpstr>Cases Country Grouped</vt:lpstr>
      <vt:lpstr>CountryList</vt:lpstr>
      <vt:lpstr>Cases All</vt:lpstr>
      <vt:lpstr>WorldPop</vt:lpstr>
      <vt:lpstr>deaths_days_since_by_population</vt:lpstr>
      <vt:lpstr>deaths_days_since</vt:lpstr>
      <vt:lpstr>deaths_linear</vt:lpstr>
      <vt:lpstr>deaths</vt:lpstr>
      <vt:lpstr>cases_days_since_by_population</vt:lpstr>
      <vt:lpstr>cases_days_since</vt:lpstr>
      <vt:lpstr>cases_linear</vt:lpstr>
      <vt:lpstr>cases</vt:lpstr>
      <vt:lpstr>australia_totals</vt:lpstr>
      <vt:lpstr>australia_totals_deaths</vt:lpstr>
      <vt:lpstr>Global 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Daniel Miller</cp:lastModifiedBy>
  <cp:lastPrinted>2020-03-19T08:54:40Z</cp:lastPrinted>
  <dcterms:created xsi:type="dcterms:W3CDTF">2020-03-08T01:32:32Z</dcterms:created>
  <dcterms:modified xsi:type="dcterms:W3CDTF">2020-03-25T06:16:19Z</dcterms:modified>
</cp:coreProperties>
</file>